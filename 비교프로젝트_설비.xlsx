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★건축견적그룹\KPI\COP\"/>
    </mc:Choice>
  </mc:AlternateContent>
  <xr:revisionPtr revIDLastSave="0" documentId="8_{062AA840-6CAF-4520-9A04-3451A7DF44EC}" xr6:coauthVersionLast="47" xr6:coauthVersionMax="47" xr10:uidLastSave="{00000000-0000-0000-0000-000000000000}"/>
  <bookViews>
    <workbookView xWindow="-28920" yWindow="-3720" windowWidth="29040" windowHeight="15840" xr2:uid="{38CD014E-4F58-4DE6-8563-4823530EF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34" i="1" l="1"/>
  <c r="EF35" i="1" s="1"/>
  <c r="EG35" i="1" s="1"/>
  <c r="EG33" i="1"/>
  <c r="EG32" i="1"/>
  <c r="EG31" i="1"/>
  <c r="EG30" i="1"/>
  <c r="EG29" i="1"/>
  <c r="EG28" i="1"/>
  <c r="EG27" i="1"/>
  <c r="EG26" i="1"/>
  <c r="EG25" i="1"/>
  <c r="EG24" i="1"/>
  <c r="EF24" i="1"/>
  <c r="EG23" i="1"/>
  <c r="EG22" i="1"/>
  <c r="EG21" i="1"/>
  <c r="EG20" i="1"/>
  <c r="EF19" i="1"/>
  <c r="EG18" i="1"/>
  <c r="EG17" i="1"/>
  <c r="EG16" i="1"/>
  <c r="EK15" i="1"/>
  <c r="EG15" i="1"/>
  <c r="EG14" i="1"/>
  <c r="EF14" i="1"/>
  <c r="EG13" i="1"/>
  <c r="EG12" i="1"/>
  <c r="EG11" i="1"/>
  <c r="EG10" i="1"/>
  <c r="EG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임형택</author>
  </authors>
  <commentList>
    <comment ref="GZ29" authorId="0" shapeId="0" xr:uid="{E0790262-DD06-473D-8681-BF290E8324AA}">
      <text>
        <r>
          <rPr>
            <b/>
            <sz val="9"/>
            <color indexed="81"/>
            <rFont val="돋움"/>
            <family val="3"/>
            <charset val="129"/>
          </rPr>
          <t>임형택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부대시설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!!!</t>
        </r>
      </text>
    </comment>
  </commentList>
</comments>
</file>

<file path=xl/sharedStrings.xml><?xml version="1.0" encoding="utf-8"?>
<sst xmlns="http://schemas.openxmlformats.org/spreadsheetml/2006/main" count="1616" uniqueCount="457">
  <si>
    <t>동작 하이팰리스 지역주택조합</t>
    <phoneticPr fontId="4" type="noConversion"/>
  </si>
  <si>
    <t>대구 반고개 주택재개발</t>
    <phoneticPr fontId="4" type="noConversion"/>
  </si>
  <si>
    <t>부산당리승학</t>
    <phoneticPr fontId="4" type="noConversion"/>
  </si>
  <si>
    <t>광양 황금지구</t>
    <phoneticPr fontId="4" type="noConversion"/>
  </si>
  <si>
    <t>신반포 21차</t>
    <phoneticPr fontId="4" type="noConversion"/>
  </si>
  <si>
    <t>군산 구암동 공동주택 신축공사</t>
    <phoneticPr fontId="4" type="noConversion"/>
  </si>
  <si>
    <t>오산세교2지구 M-1BL 주상복합 신축공사</t>
    <phoneticPr fontId="4" type="noConversion"/>
  </si>
  <si>
    <t>남양주 진주아파트 재건축정비사업</t>
    <phoneticPr fontId="4" type="noConversion"/>
  </si>
  <si>
    <t>오산 서2구역 공동주택</t>
    <phoneticPr fontId="4" type="noConversion"/>
  </si>
  <si>
    <t>충남 서산 예천 공동주택 PJT</t>
    <phoneticPr fontId="4" type="noConversion"/>
  </si>
  <si>
    <t>돈암동 역세권 지역주택조합 공동주택</t>
    <phoneticPr fontId="4" type="noConversion"/>
  </si>
  <si>
    <t>부산 광안 지역주택조합</t>
    <phoneticPr fontId="4" type="noConversion"/>
  </si>
  <si>
    <t>도마변동3구역 주택재개발정비사업</t>
    <phoneticPr fontId="4" type="noConversion"/>
  </si>
  <si>
    <t>창원 진해 자은동 723번지 공동주택</t>
    <phoneticPr fontId="4" type="noConversion"/>
  </si>
  <si>
    <t>경남 창녕읍 교리 공동주택 PJT</t>
    <phoneticPr fontId="4" type="noConversion"/>
  </si>
  <si>
    <t>부산 부민 2구역 재개발 PJT (대안설계)</t>
    <phoneticPr fontId="4" type="noConversion"/>
  </si>
  <si>
    <t>제주 연동 주상복합</t>
    <phoneticPr fontId="4" type="noConversion"/>
  </si>
  <si>
    <t>서울 성수 장미아파트 재건축 PJT</t>
    <phoneticPr fontId="4" type="noConversion"/>
  </si>
  <si>
    <t>중곡아파트 공공재건축정비사업</t>
    <phoneticPr fontId="4" type="noConversion"/>
  </si>
  <si>
    <t>춘천 만천리 공동주택 신축사업</t>
    <phoneticPr fontId="4" type="noConversion"/>
  </si>
  <si>
    <t>군산 나운주공 재건축</t>
    <phoneticPr fontId="4" type="noConversion"/>
  </si>
  <si>
    <t>시흥 목감2구역 주택재개발 정비사업</t>
    <phoneticPr fontId="4" type="noConversion"/>
  </si>
  <si>
    <t>강북3구역 도시정비형 재개발사업</t>
    <phoneticPr fontId="4" type="noConversion"/>
  </si>
  <si>
    <t>부산 시민공원 촉진2-1구역</t>
    <phoneticPr fontId="4" type="noConversion"/>
  </si>
  <si>
    <t>산본1동2지구 주택재개발정비사업</t>
    <phoneticPr fontId="4" type="noConversion"/>
  </si>
  <si>
    <t>포항 양학공원 공동주택 1BL</t>
    <phoneticPr fontId="4" type="noConversion"/>
  </si>
  <si>
    <t>대구 대명6동 44구역 공동주택 PJT</t>
    <phoneticPr fontId="4" type="noConversion"/>
  </si>
  <si>
    <t>경북 김천 혁신도시 M-2블럭 공동주택 PJT</t>
    <phoneticPr fontId="4" type="noConversion"/>
  </si>
  <si>
    <t>김해 어방동 공동주택개발사업</t>
    <phoneticPr fontId="4" type="noConversion"/>
  </si>
  <si>
    <t>순천 풍덕지구 2BL 공동주택</t>
    <phoneticPr fontId="4" type="noConversion"/>
  </si>
  <si>
    <t>가락미륭아파트 재건축정비사업_대안</t>
    <phoneticPr fontId="4" type="noConversion"/>
  </si>
  <si>
    <t>대전 용두동 공동주택 신축공사</t>
    <phoneticPr fontId="4" type="noConversion"/>
  </si>
  <si>
    <t>안산주공6단지 주택재건축 정비사업_원안</t>
    <phoneticPr fontId="4" type="noConversion"/>
  </si>
  <si>
    <t>대구 노원2구역 주택재개발 PJT</t>
    <phoneticPr fontId="4" type="noConversion"/>
  </si>
  <si>
    <t>노량진1 재정비촉진구역 주택재개발 정비사업</t>
    <phoneticPr fontId="4" type="noConversion"/>
  </si>
  <si>
    <t>전주 기자촌 주택재개발 PJT</t>
    <phoneticPr fontId="4" type="noConversion"/>
  </si>
  <si>
    <t>부산 연산동 공동주택 신축공사</t>
    <phoneticPr fontId="4" type="noConversion"/>
  </si>
  <si>
    <t>길음5재정비촉진구역</t>
    <phoneticPr fontId="4" type="noConversion"/>
  </si>
  <si>
    <t>제주 이도 주공1차 공동주택</t>
    <phoneticPr fontId="4" type="noConversion"/>
  </si>
  <si>
    <t>경남 밀양시 내이동 공동주택 PJT</t>
    <phoneticPr fontId="4" type="noConversion"/>
  </si>
  <si>
    <t>대전 유천1구역 지역주택조합 주거복합 PJT</t>
    <phoneticPr fontId="4" type="noConversion"/>
  </si>
  <si>
    <t>춘천 만천리 공동주택 PJT</t>
    <phoneticPr fontId="4" type="noConversion"/>
  </si>
  <si>
    <t>대연8구역 재개발정비사업</t>
    <phoneticPr fontId="4" type="noConversion"/>
  </si>
  <si>
    <t xml:space="preserve"> 평택 화양지구 6-1,6-3블럭 공동주택 PJT</t>
    <phoneticPr fontId="4" type="noConversion"/>
  </si>
  <si>
    <t>김해 신문1지구 A17-1블럭 공동주택 PJT</t>
    <phoneticPr fontId="4" type="noConversion"/>
  </si>
  <si>
    <t>부산 문현마루 지역주택조합 공동주택 PJT</t>
    <phoneticPr fontId="4" type="noConversion"/>
  </si>
  <si>
    <t>서울 동교동 주상복합</t>
    <phoneticPr fontId="4" type="noConversion"/>
  </si>
  <si>
    <t>동삼1구역 주택재개발정비사업</t>
    <phoneticPr fontId="4" type="noConversion"/>
  </si>
  <si>
    <t>서금사 재정비촉진5구역 재개발사업</t>
    <phoneticPr fontId="4" type="noConversion"/>
  </si>
  <si>
    <t>충주 기업도시 주상복합 2BL</t>
    <phoneticPr fontId="4" type="noConversion"/>
  </si>
  <si>
    <t>마포로1구역 제10지구</t>
    <phoneticPr fontId="4" type="noConversion"/>
  </si>
  <si>
    <t>김포 북변2구역 공동주택</t>
    <phoneticPr fontId="4" type="noConversion"/>
  </si>
  <si>
    <t>부산 수영구 망미동 지역주택조합 신축공사</t>
    <phoneticPr fontId="4" type="noConversion"/>
  </si>
  <si>
    <t>여주시 홍문2지구 도시개발사업 공동주택 신축공사</t>
    <phoneticPr fontId="4" type="noConversion"/>
  </si>
  <si>
    <t>삼호가든5차아파트 재건축정비사업</t>
    <phoneticPr fontId="4" type="noConversion"/>
  </si>
  <si>
    <t>용산 문배2구역 개발사업</t>
    <phoneticPr fontId="4" type="noConversion"/>
  </si>
  <si>
    <t>천안 업성지구 공동주택</t>
    <phoneticPr fontId="4" type="noConversion"/>
  </si>
  <si>
    <t>갈산1구역 주택재개발정비사업조합</t>
    <phoneticPr fontId="4" type="noConversion"/>
  </si>
  <si>
    <t>은행주공아파트 주택재건축 정비사업</t>
    <phoneticPr fontId="4" type="noConversion"/>
  </si>
  <si>
    <t>남원주 역세권 복합용지 AC-5BL 공동주택 신축공사</t>
    <phoneticPr fontId="4" type="noConversion"/>
  </si>
  <si>
    <t>RM 1-1~4 블록</t>
    <phoneticPr fontId="4" type="noConversion"/>
  </si>
  <si>
    <t>용인 풍덕천 2지구 공동주택 신축공사</t>
    <phoneticPr fontId="4" type="noConversion"/>
  </si>
  <si>
    <t>부산연제구 거제2지역주택조합
 주상복합</t>
    <phoneticPr fontId="4" type="noConversion"/>
  </si>
  <si>
    <t>포항 장성동 주택 재개발 1단지</t>
    <phoneticPr fontId="4" type="noConversion"/>
  </si>
  <si>
    <t>포항 장성동 주택 재개발 2단지</t>
    <phoneticPr fontId="4" type="noConversion"/>
  </si>
  <si>
    <t>방배15구역 주택재건축정비사업</t>
    <phoneticPr fontId="4" type="noConversion"/>
  </si>
  <si>
    <t>송도 9공구 RM1-1~4 블록 PJT</t>
    <phoneticPr fontId="4" type="noConversion"/>
  </si>
  <si>
    <t>검단16호공원 공동주택 신축사업</t>
    <phoneticPr fontId="4" type="noConversion"/>
  </si>
  <si>
    <t>구리 수택동 재개발 정비사업</t>
    <phoneticPr fontId="4" type="noConversion"/>
  </si>
  <si>
    <t>서동탄역 공동주택 개발사업</t>
    <phoneticPr fontId="4" type="noConversion"/>
  </si>
  <si>
    <t xml:space="preserve">전남방직부지 복합개발  (A1BL) </t>
    <phoneticPr fontId="4" type="noConversion"/>
  </si>
  <si>
    <t>전남방직부지 복합개발 (A2BL)</t>
    <phoneticPr fontId="4" type="noConversion"/>
  </si>
  <si>
    <t>서울 정릉골 주택재개발 PJT</t>
    <phoneticPr fontId="4" type="noConversion"/>
  </si>
  <si>
    <t>순천 풍덕지구 2BL 공동주택 신축사업</t>
    <phoneticPr fontId="4" type="noConversion"/>
  </si>
  <si>
    <t>부산 진구 범천동 주상복합</t>
    <phoneticPr fontId="4" type="noConversion"/>
  </si>
  <si>
    <t>미추8구역 주택재개발 정비사업</t>
    <phoneticPr fontId="4" type="noConversion"/>
  </si>
  <si>
    <t>구미 괴평송림지구 공동주택</t>
    <phoneticPr fontId="4" type="noConversion"/>
  </si>
  <si>
    <t>상인천초교주변구역 주택재개발 정비사업</t>
    <phoneticPr fontId="4" type="noConversion"/>
  </si>
  <si>
    <t>금호동 주상복합 신축공사</t>
    <phoneticPr fontId="4" type="noConversion"/>
  </si>
  <si>
    <t>안동시 옥동 도시개발사업지 공동주택 신축공사</t>
    <phoneticPr fontId="4" type="noConversion"/>
  </si>
  <si>
    <t>신길2구역 공공주택</t>
    <phoneticPr fontId="4" type="noConversion"/>
  </si>
  <si>
    <t>신사동 하이엔드 주택 개발사업</t>
    <phoneticPr fontId="4" type="noConversion"/>
  </si>
  <si>
    <t>부산외대 이전부지 공동주택 신축공사</t>
    <phoneticPr fontId="4" type="noConversion"/>
  </si>
  <si>
    <t>서울 삼성동 하이엔드 주택 신축사업</t>
    <phoneticPr fontId="4" type="noConversion"/>
  </si>
  <si>
    <t xml:space="preserve">부산 거제2지역주택조합 PJT </t>
    <phoneticPr fontId="4" type="noConversion"/>
  </si>
  <si>
    <t>천안 대흥4구역 재개발</t>
    <phoneticPr fontId="4" type="noConversion"/>
  </si>
  <si>
    <t>서울 신길5동 지역주택조합 공동주택</t>
    <phoneticPr fontId="4" type="noConversion"/>
  </si>
  <si>
    <t>의정부 녹양 역세권 주상복합</t>
    <phoneticPr fontId="4" type="noConversion"/>
  </si>
  <si>
    <t>전라 중교 일원 재개발 정비사업</t>
    <phoneticPr fontId="4" type="noConversion"/>
  </si>
  <si>
    <t>청주 센트럴밸리 공동주택</t>
    <phoneticPr fontId="4" type="noConversion"/>
  </si>
  <si>
    <t>이천 가좌2지구 도시개발사업 공동주택 신축공사</t>
    <phoneticPr fontId="4" type="noConversion"/>
  </si>
  <si>
    <t>검단신도시 워라밸빌리지 공동주택</t>
    <phoneticPr fontId="4" type="noConversion"/>
  </si>
  <si>
    <t>용현 학익 1BL(시티오씨엘 8단지)</t>
    <phoneticPr fontId="4" type="noConversion"/>
  </si>
  <si>
    <t>대전관저 28BL 공동주택 신축공사</t>
    <phoneticPr fontId="4" type="noConversion"/>
  </si>
  <si>
    <t>용인 기흥역세권2 주상복합 신축공사</t>
    <phoneticPr fontId="4" type="noConversion"/>
  </si>
  <si>
    <t>의정부역 주상복합 PJT</t>
    <phoneticPr fontId="4" type="noConversion"/>
  </si>
  <si>
    <t>갈산1구역 재개발정비사업</t>
    <phoneticPr fontId="4" type="noConversion"/>
  </si>
  <si>
    <t>부산 전포5구역 지역주택개발</t>
    <phoneticPr fontId="4" type="noConversion"/>
  </si>
  <si>
    <t>부산 문현마루 지역주택조합</t>
    <phoneticPr fontId="4" type="noConversion"/>
  </si>
  <si>
    <t>공사금액</t>
  </si>
  <si>
    <t>평당공사비</t>
  </si>
  <si>
    <t>작  성  일  자</t>
    <phoneticPr fontId="4" type="noConversion"/>
  </si>
  <si>
    <t>냉난방
열   원</t>
    <phoneticPr fontId="4" type="noConversion"/>
  </si>
  <si>
    <t>주거시설</t>
    <phoneticPr fontId="4" type="noConversion"/>
  </si>
  <si>
    <t>개별가스보일러</t>
  </si>
  <si>
    <t>지역난방</t>
  </si>
  <si>
    <t>지역난방</t>
    <phoneticPr fontId="4" type="noConversion"/>
  </si>
  <si>
    <t>판매,근린생활</t>
    <phoneticPr fontId="4" type="noConversion"/>
  </si>
  <si>
    <t>없음</t>
  </si>
  <si>
    <t>EHP</t>
  </si>
  <si>
    <t>EHP, 지열</t>
  </si>
  <si>
    <t>FCU + 냉온수기</t>
  </si>
  <si>
    <t>세대수</t>
    <phoneticPr fontId="4" type="noConversion"/>
  </si>
  <si>
    <t>아파트</t>
    <phoneticPr fontId="4" type="noConversion"/>
  </si>
  <si>
    <t>오피스텔</t>
    <phoneticPr fontId="4" type="noConversion"/>
  </si>
  <si>
    <t>조합세대 173세대</t>
  </si>
  <si>
    <t>조합세대 426</t>
  </si>
  <si>
    <t>(조합)</t>
  </si>
  <si>
    <t>조합세대: 495</t>
  </si>
  <si>
    <t>오피스텔 64호</t>
  </si>
  <si>
    <t>공동주택 465세대, 오피스텔 462실</t>
  </si>
  <si>
    <t>공동주택 1,136세대, 오피스텔 280호</t>
  </si>
  <si>
    <t>조합원 세대 456세대</t>
  </si>
  <si>
    <t>조합원 세대 18세대</t>
  </si>
  <si>
    <t>조합</t>
  </si>
  <si>
    <t>공동주택 600세대, 오피스텔 46실</t>
  </si>
  <si>
    <t>건 축 규 모</t>
    <phoneticPr fontId="4" type="noConversion"/>
  </si>
  <si>
    <t>지하5층 지상35층/4개동</t>
  </si>
  <si>
    <t>지하3층 지상29층 10개동</t>
    <phoneticPr fontId="4" type="noConversion"/>
  </si>
  <si>
    <t>지하4층 지상29층/8개동</t>
  </si>
  <si>
    <t>지하3층 지상33층/5개동</t>
  </si>
  <si>
    <t>지하4층 지상20층/2개동</t>
  </si>
  <si>
    <t>지하2층 지상29층/6개동</t>
  </si>
  <si>
    <t>지하4층 지상44층/5개동</t>
  </si>
  <si>
    <t>지하3층 지상29층/21개동</t>
  </si>
  <si>
    <t>지하2층 지상29층/11개동</t>
  </si>
  <si>
    <t>지하2층 지상27층/10개동</t>
  </si>
  <si>
    <t>지하6층 지상29층/7개동</t>
  </si>
  <si>
    <t>지하3층 지상29층/7개동</t>
  </si>
  <si>
    <t>지하2층 지상38층/22개동</t>
  </si>
  <si>
    <t>지하3층 지상27층/6개동</t>
  </si>
  <si>
    <t>지하2층 지상27층/5개동</t>
  </si>
  <si>
    <t>지하4층 지상23층/9개동</t>
  </si>
  <si>
    <t>지하5층 지상18층/1개동</t>
  </si>
  <si>
    <t>지하3층 지상20층/3개동</t>
  </si>
  <si>
    <t>지하3층 지상25층/6개동</t>
  </si>
  <si>
    <t>지하4층 지상29층/6개동</t>
  </si>
  <si>
    <t>지하3층 지상27층/17개동</t>
  </si>
  <si>
    <t>지하3층 지상35층/7개동</t>
  </si>
  <si>
    <t>지하5층 지상37층/9개동</t>
  </si>
  <si>
    <t>지하5층 지상69층/5개동</t>
  </si>
  <si>
    <t>지하3층 지상36층/8개동</t>
  </si>
  <si>
    <t>지하3층 지상39층/10개동</t>
  </si>
  <si>
    <t>지하2층 지상29층/3개동</t>
  </si>
  <si>
    <t>지하3층 지상49층/6개동</t>
  </si>
  <si>
    <t>지하2층 지상29층/8개동</t>
  </si>
  <si>
    <t>지하3층 지상20층/9개동</t>
  </si>
  <si>
    <t>지하5층 지상26층/5개동</t>
  </si>
  <si>
    <t>지하3층 지상36층/9개동</t>
  </si>
  <si>
    <t>지하2층 지상30층/12개동</t>
  </si>
  <si>
    <t>지하4층 지상33층/28개동</t>
  </si>
  <si>
    <t>지하4층 지상25층 28개동</t>
  </si>
  <si>
    <t>지하6층 지상30층/7개동</t>
  </si>
  <si>
    <t>지하4층 지상14층/14개동</t>
  </si>
  <si>
    <t>지하5층 지상49층 5개동</t>
  </si>
  <si>
    <t>지하7층 37층/28개동</t>
  </si>
  <si>
    <t>지하2층 지상28층/21개동</t>
  </si>
  <si>
    <t>지하3층 지상35층/6개동</t>
  </si>
  <si>
    <t>지하6층 지상20층/2개동</t>
  </si>
  <si>
    <t>지하5층 지상30층/19개동</t>
  </si>
  <si>
    <t>지하7층 지상49층/26개동</t>
  </si>
  <si>
    <t>지하2층 지상28층/9개동</t>
  </si>
  <si>
    <t>지하7층 지상35층/2개동</t>
  </si>
  <si>
    <t>지하5층 지상24층/9개동</t>
  </si>
  <si>
    <t>지하2층 지상35층/6개동</t>
  </si>
  <si>
    <t>지하2층 지상29층7개동</t>
  </si>
  <si>
    <t>지하3층 지상35층/3개동</t>
  </si>
  <si>
    <t>지하8층 지상39층/7개동</t>
  </si>
  <si>
    <t>지하3층 지상39층/13개동</t>
  </si>
  <si>
    <t>지하5층 지상37층/7개동</t>
  </si>
  <si>
    <t>지하3층 지상34층/8개동</t>
  </si>
  <si>
    <t>지하6층 지상30층/39개동</t>
  </si>
  <si>
    <t>지하3층 지상43층/5개동</t>
  </si>
  <si>
    <t>지하4층 지상49층/8개동</t>
  </si>
  <si>
    <t>지하5층 지상48층/5개동</t>
  </si>
  <si>
    <t>지하3층 지상35층/12개동</t>
  </si>
  <si>
    <t>지하3층 지상34층/4개동</t>
  </si>
  <si>
    <t>지하3층 지상25층 17개동</t>
    <phoneticPr fontId="2" type="noConversion"/>
  </si>
  <si>
    <t>지하3층 지상27층/9개동</t>
  </si>
  <si>
    <t>지하3층 지상49층/27개동</t>
  </si>
  <si>
    <t>지하3층 지상29층/9개동</t>
  </si>
  <si>
    <t>지하3층 지상49층/4개동</t>
  </si>
  <si>
    <t>지하3층 지상49층/12개동</t>
  </si>
  <si>
    <t>지하2층 지상4층 81개동</t>
  </si>
  <si>
    <t>지하6층 지상46층/5개동</t>
  </si>
  <si>
    <t>지하3층 지상40층/20개동</t>
  </si>
  <si>
    <t>지하2층 지상27층/8개동</t>
  </si>
  <si>
    <t>지하4층 지상35층/24개동</t>
  </si>
  <si>
    <t>지하6층 지상29층/4개동</t>
  </si>
  <si>
    <t>지하3층 지상20층/7개동</t>
  </si>
  <si>
    <t>지하3층 지상45층/18개동</t>
  </si>
  <si>
    <t>지하5층 지상20층/1개동</t>
  </si>
  <si>
    <t>지하10층 지상49층/12개동</t>
  </si>
  <si>
    <t>지하5층 지상13층/1개동</t>
  </si>
  <si>
    <t>지하4층 지상49층/9개동</t>
  </si>
  <si>
    <t>지하3층 지상35층/16개동</t>
  </si>
  <si>
    <t>지하6층 지상59층/8개동</t>
  </si>
  <si>
    <t>지하3층 지상29층/18개동</t>
  </si>
  <si>
    <t>지하3층 지상29층/13개동</t>
  </si>
  <si>
    <t>지하3층 지상25층/8개동</t>
  </si>
  <si>
    <t>지하3층 지상29층/26개동</t>
    <phoneticPr fontId="2" type="noConversion"/>
  </si>
  <si>
    <t>지하3층 지상46층/7개동</t>
  </si>
  <si>
    <t>지하3층 지상25층/9개동</t>
  </si>
  <si>
    <t>지하4층 지상48층/8개동</t>
  </si>
  <si>
    <t>지하6층 지상48층/2개동</t>
  </si>
  <si>
    <t>지하3층 지상34층/10개동</t>
  </si>
  <si>
    <t>지하3층 지상25층/11개동</t>
  </si>
  <si>
    <t>연
면
적</t>
    <phoneticPr fontId="4" type="noConversion"/>
  </si>
  <si>
    <t>부대시설</t>
    <phoneticPr fontId="4" type="noConversion"/>
  </si>
  <si>
    <t>판매시설</t>
    <phoneticPr fontId="4" type="noConversion"/>
  </si>
  <si>
    <t>주차장</t>
    <phoneticPr fontId="4" type="noConversion"/>
  </si>
  <si>
    <t>합    계</t>
    <phoneticPr fontId="4" type="noConversion"/>
  </si>
  <si>
    <t>지하주차장</t>
    <phoneticPr fontId="4" type="noConversion"/>
  </si>
  <si>
    <t>배관공사비 계</t>
    <phoneticPr fontId="4" type="noConversion"/>
  </si>
  <si>
    <t>위생기구</t>
    <phoneticPr fontId="4" type="noConversion"/>
  </si>
  <si>
    <t>냉방설비</t>
    <phoneticPr fontId="4" type="noConversion"/>
  </si>
  <si>
    <t>진공청소설비</t>
    <phoneticPr fontId="4" type="noConversion"/>
  </si>
  <si>
    <t>정수처리설비</t>
    <phoneticPr fontId="4" type="noConversion"/>
  </si>
  <si>
    <t>음식물처리설비</t>
    <phoneticPr fontId="4" type="noConversion"/>
  </si>
  <si>
    <t>절수형밸브</t>
    <phoneticPr fontId="8" type="noConversion"/>
  </si>
  <si>
    <t>멀티온도조절시스템</t>
    <phoneticPr fontId="4" type="noConversion"/>
  </si>
  <si>
    <t>렌지후드</t>
  </si>
  <si>
    <t>환기설비</t>
    <phoneticPr fontId="4" type="noConversion"/>
  </si>
  <si>
    <t>사우나설비</t>
  </si>
  <si>
    <t>쓰레기이송설비</t>
  </si>
  <si>
    <t>대체에너지</t>
    <phoneticPr fontId="4" type="noConversion"/>
  </si>
  <si>
    <t>기계식 주차설비</t>
    <phoneticPr fontId="4" type="noConversion"/>
  </si>
  <si>
    <t>기타</t>
    <phoneticPr fontId="4" type="noConversion"/>
  </si>
  <si>
    <t>인테리어,특수설비 계</t>
    <phoneticPr fontId="4" type="noConversion"/>
  </si>
  <si>
    <t>공사비 계</t>
    <phoneticPr fontId="4" type="noConversion"/>
  </si>
  <si>
    <t>관리비 및 이윤</t>
    <phoneticPr fontId="4" type="noConversion"/>
  </si>
  <si>
    <t>발코니확장공사비</t>
    <phoneticPr fontId="4" type="noConversion"/>
  </si>
  <si>
    <t>세대당배관공사비(주차장제외)</t>
    <phoneticPr fontId="4" type="noConversion"/>
  </si>
  <si>
    <t>특
화
설
비</t>
    <phoneticPr fontId="4" type="noConversion"/>
  </si>
  <si>
    <t>국산</t>
  </si>
  <si>
    <t>국산(분양) / 외산(조합)</t>
  </si>
  <si>
    <t xml:space="preserve">절수형 수전 </t>
  </si>
  <si>
    <t>임대, 분양 : 국산
조합 : 외산(토토,지사)</t>
  </si>
  <si>
    <t>조합: 아메리칸 스탠다드 보급형 수전
분양: 국산 일반</t>
  </si>
  <si>
    <t>일반: 국산, 조합: 외산 (그로에)</t>
  </si>
  <si>
    <t>일반 : 국산, 조합 : 외산</t>
  </si>
  <si>
    <t>조합 : 외산, 일반 : 국산</t>
  </si>
  <si>
    <t>조합: 외산/ 일반: 국산</t>
  </si>
  <si>
    <t>조합 : 외산 듀라빗 도기 + 제시 수전
일반 : 국산 대림바스 (비데일체형 벽걸이 양변기)</t>
  </si>
  <si>
    <t>조합: 아메리칸 스탠다드 양변기, 주방수전
분양: 국산 일반</t>
  </si>
  <si>
    <t>일반 : 국산 (비데일체형 양변기 1EA 포함)
조합 : 외산 (파포니, 콜러)</t>
    <phoneticPr fontId="4" type="noConversion"/>
  </si>
  <si>
    <t>조합: 도기 아메리칸스탠다드 / 수전 한스그로에
분양: 국산</t>
  </si>
  <si>
    <t>외산 (파포니, 한스그로헤)</t>
  </si>
  <si>
    <t>일반 : 국산
조합 : 외산 (콜러)</t>
  </si>
  <si>
    <t>외산 (토토, 한스그로헤)</t>
  </si>
  <si>
    <t xml:space="preserve">일반/임대: 국산
조합: 외산 (아메리칸스탠다드) </t>
  </si>
  <si>
    <t>조합: 아메리칸 스탠다드 도기,수전(비데일체형)
일반: 국산</t>
  </si>
  <si>
    <t>수전류 : 외산 (한스그로헤)
도기 및 기타 : 국산</t>
  </si>
  <si>
    <t>외산</t>
  </si>
  <si>
    <t>조합: 외산(아메리칸스탠다드 도기, 콜러수전)
일반: 국산</t>
  </si>
  <si>
    <t>조합: 국산(도기/수전:대림비엔코)
일반: 국산</t>
    <phoneticPr fontId="2" type="noConversion"/>
  </si>
  <si>
    <t>제외</t>
  </si>
  <si>
    <t>조합 : 외산
일반 : 국산</t>
  </si>
  <si>
    <t>냉매배관 2개소</t>
  </si>
  <si>
    <t>분양: 냉매배관 3~4개소
조합: 시스템에어컨 전실</t>
  </si>
  <si>
    <t>조합: 시스템에어컨 2개소 
일반: 냉매배관 2개소</t>
  </si>
  <si>
    <t>임대, 분양 : 냉매배관 2개소
조합 : 시스템에어컨 전실</t>
  </si>
  <si>
    <t>조합: 시스템에어컨 2개소~3개소
분양: 냉매배관 2개소</t>
  </si>
  <si>
    <t>일반: 냉매배관 2개소
조합: 전실 천장형에어컨</t>
  </si>
  <si>
    <t>조합 : 시스템에어컨 2개소
일반 : 냉매배관 2개소</t>
  </si>
  <si>
    <t>냉매배관 2개소/조합(시스템에어컨 2개소)</t>
  </si>
  <si>
    <t>아파트 : 일반 냉매배관 2개소, 
조합 시스템에어컨 전실
오피스텔 : 시스템에어컨 전실</t>
  </si>
  <si>
    <t>분양: 냉매배관 2개소
조합: 전실 에어컨</t>
  </si>
  <si>
    <t>조합 : 시스템에어컨 4~5대
일반 : 냉매배관 2개소</t>
  </si>
  <si>
    <t>조합: 시스템에어컨 전실
일반: 냉매배관 2개소</t>
  </si>
  <si>
    <t>조합 : 시스템에어컨 전실
일반 : 천장형 냉매선배관 전실</t>
  </si>
  <si>
    <t>조합: 시스템에어컨 4개소
분양: 냉매배관 2개소</t>
  </si>
  <si>
    <t>일반 : 냉매매립배관 2개소
조합 : 시스템에어컨 전실</t>
    <phoneticPr fontId="4" type="noConversion"/>
  </si>
  <si>
    <t>조합: 시스템에어컨 (전실)
분양: 냉매배관 2개소</t>
  </si>
  <si>
    <t>조합: 시스템에어컨 3대
분양: 냉매배관 2개소</t>
  </si>
  <si>
    <t>조합: 시스템에어컨 전실
분양: 냉매배관 2개소</t>
  </si>
  <si>
    <t>시스템에어컨 전실(2~3개소)</t>
  </si>
  <si>
    <t>일반 : 냉매배관 2개소
조합 : 시스템에어컨 전실 (4~6개소)</t>
    <phoneticPr fontId="4" type="noConversion"/>
  </si>
  <si>
    <t>일반 : 냉매배관 2개소
조합 : 시스템에어컨 전실(4~5대)</t>
  </si>
  <si>
    <t>냉매배관 2개소</t>
    <phoneticPr fontId="4" type="noConversion"/>
  </si>
  <si>
    <t>냉매매립배관 2개소</t>
  </si>
  <si>
    <t>냉매배관 2개소 (마감표 기준)</t>
  </si>
  <si>
    <t>시스템에어컨 전실</t>
  </si>
  <si>
    <t>일반/임대: 냉매배관 2개소
조합: 에어컨 2개소</t>
  </si>
  <si>
    <t>조합: 시스템에어컨 전실(알파룸 제외)
일반: 냉매배관 2개소</t>
  </si>
  <si>
    <t>아파트: 냉매배관 2개소
오피스텔: FCU 2,3개소</t>
  </si>
  <si>
    <t>조합: 시스템에어컨 4개소,5개소
분양: 냉매배관 2개소</t>
  </si>
  <si>
    <t>냉매배관 전실</t>
  </si>
  <si>
    <t>냉매배관 전실</t>
    <phoneticPr fontId="4" type="noConversion"/>
  </si>
  <si>
    <t>조합: 시스템에어컨 3, 4개소
일반: 냉매배관 2개소</t>
  </si>
  <si>
    <t>조합 에어컨 1개소
일반 냉매배관 2개소</t>
  </si>
  <si>
    <t>조합원 에어컨 2~3개실(거실,주방,안방)
일반 냉매배관 2개소(거실,안방)
임대 냉매배관 1개소</t>
  </si>
  <si>
    <t>조합: 시스템에어컨 4~6대
일반: 냉매배관 2개소</t>
    <phoneticPr fontId="2" type="noConversion"/>
  </si>
  <si>
    <t>일반 : 냉매배관 4개소</t>
  </si>
  <si>
    <t>공동주택(일반): 냉매배관 2개소
공동주택(조합) 및 오피스텔: 시스템에어컨 2개소</t>
    <phoneticPr fontId="2" type="noConversion"/>
  </si>
  <si>
    <t>조합 : 시스템에어컨 2~3대
일반 : 냉매배관 2개소</t>
  </si>
  <si>
    <t>공동주택: 냉매배관 2개소
오피스텔: 시스템에어컨 전실</t>
  </si>
  <si>
    <t>X</t>
  </si>
  <si>
    <t>O(조합)</t>
  </si>
  <si>
    <t>조합 : 개별 정수기</t>
  </si>
  <si>
    <t>조합 : 정수기, 일반 : 미적용</t>
  </si>
  <si>
    <t>개별 정수기</t>
  </si>
  <si>
    <t>O</t>
  </si>
  <si>
    <t>탈수기</t>
  </si>
  <si>
    <t>임대, 분양 : 탈수기
조합 : 음식물처리기(웰릭스)</t>
  </si>
  <si>
    <t>일반: 탈수기, 조합: 음식물분쇄건조</t>
  </si>
  <si>
    <t>조합 : 음식물건조기
일반 : 탈수기</t>
  </si>
  <si>
    <t>조합: 음식물 분쇄,건조 / 분양: 탈수기</t>
  </si>
  <si>
    <t>음식물 분쇄설비 (에너지원,비움) - 임대 제외</t>
  </si>
  <si>
    <t>음식물건조분쇄처리기</t>
  </si>
  <si>
    <t>일반/임대: 탈수기
조합: 음식물처리기</t>
  </si>
  <si>
    <t>조합: 음식물 분쇄건조기
분양: 탈수기</t>
  </si>
  <si>
    <t>탈수기 + 각층 공용부 음식물쓰레기 투입</t>
  </si>
  <si>
    <t>탈수기+ 각층투입 음식물처리설비</t>
    <phoneticPr fontId="4" type="noConversion"/>
  </si>
  <si>
    <t>조합:음식물건조기
일반: 탈수기</t>
  </si>
  <si>
    <t>쓰레기 이송설비</t>
  </si>
  <si>
    <t>○</t>
  </si>
  <si>
    <t>◯</t>
  </si>
  <si>
    <t>일반: X, 조합: O</t>
  </si>
  <si>
    <t>O(사업승인조건)</t>
  </si>
  <si>
    <t>조합: 적용/ 일반: 미적용</t>
  </si>
  <si>
    <t>조합: O / 분양: X</t>
  </si>
  <si>
    <t>조합: 절수형밸브 센서형</t>
  </si>
  <si>
    <t>센서 핸드터치식 주방수전</t>
    <phoneticPr fontId="2" type="noConversion"/>
  </si>
  <si>
    <t>비례제어</t>
  </si>
  <si>
    <t>세대차압유량시스템(황동분배기)</t>
  </si>
  <si>
    <t>비례제어</t>
    <phoneticPr fontId="4" type="noConversion"/>
  </si>
  <si>
    <t>전열교환기+휀분리형 렌지후드</t>
  </si>
  <si>
    <t>전열교환기+휀분리형 렌지후드+주방환기센서</t>
  </si>
  <si>
    <t>분양: 전열교환기+휀분리형 렌지후드
조합: 청정환기시스템 (후드일체형인덕션 건축이관)</t>
  </si>
  <si>
    <t>조합: 청정환기 기본형
분양: 전열교환기+휀분리형 렌지후드</t>
  </si>
  <si>
    <t>일반: 전열교환기+휀분리형 렌지후드
조합: 청정환기시스템+휀분리형 렌지후드</t>
  </si>
  <si>
    <t>전열교환기(덕트세척형)+휀분리형 렌지후드</t>
  </si>
  <si>
    <t>아파트 : 일반 전열교환기, 조합 청정환기
오피스텔 : 무덕트형 전열교환기</t>
  </si>
  <si>
    <t>전열교환기+렌지후드(침니형)</t>
  </si>
  <si>
    <t>전열교환기 + 렌지후드(조합 : 외산, 일반 : 국산)</t>
  </si>
  <si>
    <t>조합: 청정환기 + 현관 클린에어 + 급배기형 렌지후드
일반: 전열교환기+휀분리형 렌지후드</t>
  </si>
  <si>
    <t>전열교환기
조합 : 하이엔드 후드, 일반 : 침니형 후드</t>
  </si>
  <si>
    <t>청정환기시스템
렌지후드 - 일반 : 국산 침니형, 조합 : 디트리쉬</t>
    <phoneticPr fontId="4" type="noConversion"/>
  </si>
  <si>
    <t>시스템환기유니트</t>
  </si>
  <si>
    <t>일반 : 전열교환기
조합 : 청정환기시스템</t>
  </si>
  <si>
    <t>청정환기유니트 + 조합 시스클라인 2대</t>
  </si>
  <si>
    <t>전열교환기+휀분리형 렌지후드</t>
    <phoneticPr fontId="4" type="noConversion"/>
  </si>
  <si>
    <t>전열교환기+일체형 렌지후드</t>
  </si>
  <si>
    <t>청정환기 각실제어, 외산 렌지후드(바랄디)</t>
  </si>
  <si>
    <t>조합: 청정환기 기본형 + 포스맥 디자인 후드
일반: 포스맥 디자인 후드</t>
  </si>
  <si>
    <t>전열교환기+포스맥 디자인후드</t>
  </si>
  <si>
    <t>전열교환기 + 포스맥 디자인후드</t>
  </si>
  <si>
    <t>조합: 각실제어 청정환기 시스템
분양: 전열교환기+포스맥 렌지후드</t>
  </si>
  <si>
    <t>청정환기유니트+일체형 렌지후드</t>
  </si>
  <si>
    <t>전열교환기+ 포스맥 디자인후드</t>
    <phoneticPr fontId="4" type="noConversion"/>
  </si>
  <si>
    <t>조합: 청정환기 + 외산 (엘리카) 렌지후드
일반: 전열교환기+포스맥 디자인 렌지후드</t>
  </si>
  <si>
    <t>전열교환기+휀일체형 렌지후드</t>
  </si>
  <si>
    <t>전열교환기+포스맥 디자인 렌지후드</t>
  </si>
  <si>
    <t>전열교환기+포스맥 디자인후드</t>
    <phoneticPr fontId="4" type="noConversion"/>
  </si>
  <si>
    <t>전열교환기+렌지후드 제외</t>
  </si>
  <si>
    <t>청정환기유닛+렌지후드 제외</t>
  </si>
  <si>
    <t>전열교환기+포스맥디자인 후드</t>
  </si>
  <si>
    <t>전열교환기+ 아일랜드형</t>
    <phoneticPr fontId="4" type="noConversion"/>
  </si>
  <si>
    <t>전열교환기+아일랜드후드</t>
    <phoneticPr fontId="4" type="noConversion"/>
  </si>
  <si>
    <t>전열교환기 (LG전자)</t>
  </si>
  <si>
    <t>일반 : 전열교환기 + 포스맥디자인 후드
조합 : 청정환기 + 포스맥디자인 후드</t>
  </si>
  <si>
    <t>전열교환기+포스맥디자인 후드</t>
    <phoneticPr fontId="2" type="noConversion"/>
  </si>
  <si>
    <t>전열교환기+포스맥디자인후드</t>
    <phoneticPr fontId="4" type="noConversion"/>
  </si>
  <si>
    <t>전열교환기+포스맥디자인후드</t>
  </si>
  <si>
    <t>전열교환기+휀분리형 렌지후드
조합: 청정환기유니트</t>
  </si>
  <si>
    <t>기타 특수설비</t>
    <phoneticPr fontId="4" type="noConversion"/>
  </si>
  <si>
    <t>사우나(습식), 우수처리(1개소), 정화조(3개소)</t>
  </si>
  <si>
    <t>우수처리</t>
    <phoneticPr fontId="4" type="noConversion"/>
  </si>
  <si>
    <t>사우나(습식), 우수처리(2개소)</t>
  </si>
  <si>
    <t>사우나(습식), 우수처리</t>
  </si>
  <si>
    <t>우수처리, 정화조,
에어샤워(조합),음식물 분쇄이송시스템(조합)</t>
  </si>
  <si>
    <t>사우나(건식), 우수처리</t>
  </si>
  <si>
    <t xml:space="preserve"> 우수처리</t>
  </si>
  <si>
    <t>정화조</t>
  </si>
  <si>
    <t>우수처리</t>
  </si>
  <si>
    <t>사우나, 수영장, 우수처리, 정화조, 
현관에어샤워, 신발살균건조기</t>
  </si>
  <si>
    <t>중앙정수처리장치, 전기차중전구역 소화설비</t>
  </si>
  <si>
    <t>우중수처리</t>
  </si>
  <si>
    <t>벽부형층상, 우수처리, 정화조, 동출입구 에어샤워</t>
  </si>
  <si>
    <t>조합 : 음식물처리시스템(에너지원)</t>
  </si>
  <si>
    <t>우수처리3개소, 사우나(건식)</t>
  </si>
  <si>
    <t>정화조, 사우나(건식)</t>
  </si>
  <si>
    <t>정화조, 우수처리, 사우나, 연료전지</t>
  </si>
  <si>
    <t>수영장, 사우나, 쓰레기이송설비, 우수처리</t>
  </si>
  <si>
    <t>사우나(습식), 우수처리, 연료전지</t>
  </si>
  <si>
    <t>우수처리설비</t>
  </si>
  <si>
    <t>우수처리, 지열</t>
  </si>
  <si>
    <t>우수처리, 정화조, 연료전지</t>
  </si>
  <si>
    <t>정화조, 우수처리</t>
  </si>
  <si>
    <t>사우나(건식), 우수처리, 정화조</t>
  </si>
  <si>
    <t>정화조, 우수처리, 동출입구 에어샤워, 사우나</t>
  </si>
  <si>
    <t>정화조, 우수처리, 지열, 연료전지, 수영장, 사우나</t>
  </si>
  <si>
    <t>사우나(습식), 우수처리, 건식세차</t>
  </si>
  <si>
    <t>연료전지</t>
  </si>
  <si>
    <t>연료전지, 음식물처리시스템(싱크맘)</t>
    <phoneticPr fontId="4" type="noConversion"/>
  </si>
  <si>
    <t>우수처리 3개소, 중수처리, 동출입구에어샤워, 정화조</t>
  </si>
  <si>
    <t>우수처리, 오수처리시설</t>
  </si>
  <si>
    <t>우수처리1개소</t>
  </si>
  <si>
    <t>사우나(습식), 우수처리 -&gt; 1,2단지
 지열 -&gt; 1,2,3단지 / 수영장 -&gt; 1단지</t>
  </si>
  <si>
    <t>우수처리, 정화조, 지열, 연료전지</t>
  </si>
  <si>
    <t>우수처리, 지열, 연료전지, 수영장, 사우나,
음식물쓰레기이송설비</t>
  </si>
  <si>
    <t>사우나(건식), 우수처리</t>
    <phoneticPr fontId="4" type="noConversion"/>
  </si>
  <si>
    <t>연료전지, 정화조, 우수처리 2개소</t>
  </si>
  <si>
    <t>정화조, 우수처리, 연료전지, 사우나(건식)</t>
  </si>
  <si>
    <t>청정환기시스템, 우수처리, 정화조, 연료전지</t>
  </si>
  <si>
    <t>사우나, 지열, 우수처리</t>
  </si>
  <si>
    <t>정화조, 우수처리, 지열</t>
  </si>
  <si>
    <t>우수처리, 정화조</t>
  </si>
  <si>
    <t>사우나(건식), 우수처리, 음식쓰레기 이송설비</t>
  </si>
  <si>
    <t>-</t>
  </si>
  <si>
    <t>쓰레기 이송설비, 우수처리, 연료전지</t>
  </si>
  <si>
    <t>연료전지, 우수처리</t>
  </si>
  <si>
    <t>사우나(습식), 우수처리 2개소</t>
  </si>
  <si>
    <t>사우나(습식), 우수처리 1개소</t>
  </si>
  <si>
    <t>신재생에너지, 수영장(1BL), 사우나(탕), 
음식물쓰레기이송설비, 우수/정화조처리설비, 
동입구에어샤워</t>
  </si>
  <si>
    <t>사우나(건,습식), 우수처리</t>
  </si>
  <si>
    <t>사우나(습식), 우수처리,수영장,체육시설</t>
    <phoneticPr fontId="4" type="noConversion"/>
  </si>
  <si>
    <t>정화조, 우수처리, 연료전지 51kw</t>
  </si>
  <si>
    <t>우수처리, 지열, 사우나</t>
  </si>
  <si>
    <t>우수처리, 정화조, 지열, 사우나</t>
  </si>
  <si>
    <t>신재생(지열), 우수처리, 사우나(건식), 정화조</t>
    <phoneticPr fontId="2" type="noConversion"/>
  </si>
  <si>
    <t>우수처리설비</t>
    <phoneticPr fontId="2" type="noConversion"/>
  </si>
  <si>
    <t>-</t>
    <phoneticPr fontId="2" type="noConversion"/>
  </si>
  <si>
    <t>수영장, 건식사우나, 
쓰레기이송설비, 우수/정화조처리설비</t>
    <phoneticPr fontId="2" type="noConversion"/>
  </si>
  <si>
    <t>사우나(습식), 우수처리설비, 연료전지</t>
  </si>
  <si>
    <t>수영장, 워터체인(수경설비)
우수/정화조처리설비</t>
    <phoneticPr fontId="2" type="noConversion"/>
  </si>
  <si>
    <t>연료전지, 우수처리. 사우나</t>
    <phoneticPr fontId="2" type="noConversion"/>
  </si>
  <si>
    <t>연료전지, 사우나</t>
    <phoneticPr fontId="2" type="noConversion"/>
  </si>
  <si>
    <t>우수처리, 연료전지, 지열, 사우나</t>
    <phoneticPr fontId="2" type="noConversion"/>
  </si>
  <si>
    <t>사우나(습식), 우수처리</t>
    <phoneticPr fontId="2" type="noConversion"/>
  </si>
  <si>
    <t>사우나(습식), 우수처리,수영장,체육시설</t>
    <phoneticPr fontId="2" type="noConversion"/>
  </si>
  <si>
    <t>우수처리, 연료전지</t>
    <phoneticPr fontId="2" type="noConversion"/>
  </si>
  <si>
    <t>연료전지, 사우나(건, 습식), 우수처리</t>
    <phoneticPr fontId="2" type="noConversion"/>
  </si>
  <si>
    <t>우수처리시설,사우나(습식/건식)</t>
    <phoneticPr fontId="2" type="noConversion"/>
  </si>
  <si>
    <t>사우나(건식)</t>
    <phoneticPr fontId="2" type="noConversion"/>
  </si>
  <si>
    <t>연료전지, 우수처리시설</t>
    <phoneticPr fontId="2" type="noConversion"/>
  </si>
  <si>
    <t>우수처리 2개소, 중수처리 1개소, 정화조 2개소</t>
    <phoneticPr fontId="2" type="noConversion"/>
  </si>
  <si>
    <t>사우나(건식),체육시설</t>
    <phoneticPr fontId="2" type="noConversion"/>
  </si>
  <si>
    <t>우수처리,수영장,체육시설</t>
    <phoneticPr fontId="2" type="noConversion"/>
  </si>
  <si>
    <t>정화조, 우수처리시설</t>
    <phoneticPr fontId="2" type="noConversion"/>
  </si>
  <si>
    <t>우수처리, 정화조</t>
    <phoneticPr fontId="2" type="noConversion"/>
  </si>
  <si>
    <t>세대당 공사비</t>
    <phoneticPr fontId="4" type="noConversion"/>
  </si>
  <si>
    <t>배관공사비</t>
    <phoneticPr fontId="2" type="noConversion"/>
  </si>
  <si>
    <t>인테리어</t>
    <phoneticPr fontId="2" type="noConversion"/>
  </si>
  <si>
    <t>특수설비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</si>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</sst>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yyyy&quot;년&quot;\ m&quot;월&quot;\ d&quot;일&quot;;@"/>
    <numFmt numFmtId="177" formatCode="#,##0&quot;세대&quot;"/>
    <numFmt numFmtId="178" formatCode="&quot;(평균&quot;\ #,##0.0&quot;평형)&quot;"/>
    <numFmt numFmtId="179" formatCode="&quot;평&quot;\(###.0%\)"/>
    <numFmt numFmtId="180" formatCode="#,##0&quot; /평&quot;"/>
    <numFmt numFmtId="181" formatCode="#,##0_ "/>
    <numFmt numFmtId="182" formatCode="#,##0&quot; /세대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바탕체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  <xf numFmtId="0" fontId="5" fillId="0" borderId="0"/>
    <xf numFmtId="0" fontId="5" fillId="0" borderId="0">
      <alignment vertical="center"/>
    </xf>
  </cellStyleXfs>
  <cellXfs count="164">
    <xf numFmtId="0" fontId="0" fillId="0" borderId="0" xfId="0">
      <alignment vertical="center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5" xfId="2" applyNumberFormat="1" applyFont="1" applyBorder="1" applyAlignment="1">
      <alignment horizontal="center" vertical="center"/>
    </xf>
    <xf numFmtId="3" fontId="3" fillId="0" borderId="6" xfId="2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3" fontId="6" fillId="0" borderId="11" xfId="2" applyNumberFormat="1" applyFont="1" applyBorder="1" applyAlignment="1">
      <alignment horizontal="left" vertical="center"/>
    </xf>
    <xf numFmtId="3" fontId="6" fillId="0" borderId="12" xfId="2" applyNumberFormat="1" applyFont="1" applyBorder="1" applyAlignment="1">
      <alignment vertical="center"/>
    </xf>
    <xf numFmtId="3" fontId="6" fillId="0" borderId="13" xfId="2" applyNumberFormat="1" applyFont="1" applyBorder="1" applyAlignment="1">
      <alignment vertical="center"/>
    </xf>
    <xf numFmtId="3" fontId="5" fillId="0" borderId="12" xfId="2" applyNumberFormat="1" applyBorder="1" applyAlignment="1">
      <alignment vertical="center"/>
    </xf>
    <xf numFmtId="3" fontId="5" fillId="0" borderId="13" xfId="2" applyNumberFormat="1" applyBorder="1" applyAlignment="1">
      <alignment vertical="center"/>
    </xf>
    <xf numFmtId="3" fontId="6" fillId="0" borderId="15" xfId="2" applyNumberFormat="1" applyFont="1" applyBorder="1" applyAlignment="1">
      <alignment horizontal="left" vertical="center"/>
    </xf>
    <xf numFmtId="3" fontId="7" fillId="0" borderId="12" xfId="0" applyNumberFormat="1" applyFont="1" applyBorder="1">
      <alignment vertical="center"/>
    </xf>
    <xf numFmtId="3" fontId="0" fillId="0" borderId="12" xfId="0" applyNumberFormat="1" applyBorder="1">
      <alignment vertical="center"/>
    </xf>
    <xf numFmtId="3" fontId="6" fillId="0" borderId="11" xfId="2" applyNumberFormat="1" applyFont="1" applyBorder="1" applyAlignment="1">
      <alignment vertical="center"/>
    </xf>
    <xf numFmtId="177" fontId="6" fillId="0" borderId="12" xfId="2" applyNumberFormat="1" applyFont="1" applyBorder="1" applyAlignment="1">
      <alignment horizontal="right" vertical="center"/>
    </xf>
    <xf numFmtId="178" fontId="6" fillId="0" borderId="13" xfId="0" applyNumberFormat="1" applyFont="1" applyBorder="1" applyAlignment="1">
      <alignment horizontal="left" vertical="center"/>
    </xf>
    <xf numFmtId="41" fontId="0" fillId="0" borderId="3" xfId="3" applyFont="1" applyBorder="1" applyAlignment="1">
      <alignment vertical="center"/>
    </xf>
    <xf numFmtId="178" fontId="0" fillId="0" borderId="16" xfId="0" applyNumberFormat="1" applyBorder="1" applyAlignment="1">
      <alignment horizontal="left" vertical="center"/>
    </xf>
    <xf numFmtId="177" fontId="5" fillId="0" borderId="12" xfId="2" applyNumberFormat="1" applyBorder="1" applyAlignment="1">
      <alignment horizontal="right" vertical="center"/>
    </xf>
    <xf numFmtId="3" fontId="6" fillId="0" borderId="15" xfId="2" applyNumberFormat="1" applyFont="1" applyBorder="1" applyAlignment="1">
      <alignment vertical="center"/>
    </xf>
    <xf numFmtId="3" fontId="7" fillId="0" borderId="20" xfId="3" applyNumberFormat="1" applyFont="1" applyBorder="1" applyAlignment="1">
      <alignment vertical="center"/>
    </xf>
    <xf numFmtId="3" fontId="6" fillId="0" borderId="21" xfId="3" applyNumberFormat="1" applyFont="1" applyBorder="1" applyAlignment="1">
      <alignment vertical="center"/>
    </xf>
    <xf numFmtId="3" fontId="5" fillId="0" borderId="21" xfId="3" applyNumberFormat="1" applyFont="1" applyBorder="1" applyAlignment="1">
      <alignment vertical="center"/>
    </xf>
    <xf numFmtId="3" fontId="0" fillId="0" borderId="20" xfId="3" applyNumberFormat="1" applyFont="1" applyBorder="1" applyAlignment="1">
      <alignment vertical="center"/>
    </xf>
    <xf numFmtId="0" fontId="6" fillId="0" borderId="23" xfId="2" applyFont="1" applyBorder="1" applyAlignment="1">
      <alignment vertical="center"/>
    </xf>
    <xf numFmtId="0" fontId="6" fillId="0" borderId="24" xfId="2" applyFont="1" applyBorder="1" applyAlignment="1">
      <alignment vertical="center"/>
    </xf>
    <xf numFmtId="41" fontId="6" fillId="0" borderId="7" xfId="3" applyFont="1" applyBorder="1" applyAlignment="1">
      <alignment vertical="center"/>
    </xf>
    <xf numFmtId="179" fontId="6" fillId="0" borderId="13" xfId="2" applyNumberFormat="1" applyFont="1" applyBorder="1" applyAlignment="1">
      <alignment horizontal="left" vertical="center"/>
    </xf>
    <xf numFmtId="41" fontId="0" fillId="0" borderId="7" xfId="3" applyFont="1" applyBorder="1" applyAlignment="1">
      <alignment vertical="center"/>
    </xf>
    <xf numFmtId="179" fontId="5" fillId="0" borderId="16" xfId="2" applyNumberFormat="1" applyBorder="1" applyAlignment="1">
      <alignment horizontal="left" vertical="center"/>
    </xf>
    <xf numFmtId="179" fontId="6" fillId="0" borderId="16" xfId="0" applyNumberFormat="1" applyFont="1" applyBorder="1" applyAlignment="1">
      <alignment horizontal="left" vertical="center"/>
    </xf>
    <xf numFmtId="0" fontId="6" fillId="0" borderId="15" xfId="2" applyFont="1" applyBorder="1" applyAlignment="1">
      <alignment vertical="center"/>
    </xf>
    <xf numFmtId="0" fontId="6" fillId="0" borderId="14" xfId="2" applyFont="1" applyBorder="1" applyAlignment="1">
      <alignment vertical="center"/>
    </xf>
    <xf numFmtId="41" fontId="6" fillId="0" borderId="3" xfId="3" applyFont="1" applyBorder="1" applyAlignment="1">
      <alignment vertical="center"/>
    </xf>
    <xf numFmtId="0" fontId="6" fillId="0" borderId="26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41" fontId="6" fillId="0" borderId="12" xfId="3" applyFont="1" applyBorder="1" applyAlignment="1">
      <alignment vertical="center"/>
    </xf>
    <xf numFmtId="41" fontId="0" fillId="0" borderId="12" xfId="3" applyFont="1" applyBorder="1" applyAlignment="1">
      <alignment vertical="center"/>
    </xf>
    <xf numFmtId="41" fontId="6" fillId="0" borderId="20" xfId="3" applyFont="1" applyBorder="1" applyAlignment="1">
      <alignment vertical="center"/>
    </xf>
    <xf numFmtId="179" fontId="6" fillId="0" borderId="21" xfId="2" applyNumberFormat="1" applyFont="1" applyBorder="1" applyAlignment="1">
      <alignment horizontal="left" vertical="center"/>
    </xf>
    <xf numFmtId="41" fontId="0" fillId="0" borderId="20" xfId="3" applyFont="1" applyBorder="1" applyAlignment="1">
      <alignment vertical="center"/>
    </xf>
    <xf numFmtId="179" fontId="5" fillId="0" borderId="27" xfId="2" applyNumberFormat="1" applyBorder="1" applyAlignment="1">
      <alignment horizontal="left" vertical="center"/>
    </xf>
    <xf numFmtId="179" fontId="6" fillId="0" borderId="27" xfId="0" applyNumberFormat="1" applyFont="1" applyBorder="1" applyAlignment="1">
      <alignment horizontal="left" vertical="center"/>
    </xf>
    <xf numFmtId="0" fontId="6" fillId="0" borderId="25" xfId="2" applyFont="1" applyBorder="1" applyAlignment="1">
      <alignment horizontal="center" vertical="center" wrapText="1"/>
    </xf>
    <xf numFmtId="0" fontId="6" fillId="0" borderId="28" xfId="2" applyFont="1" applyBorder="1" applyAlignment="1">
      <alignment vertical="center"/>
    </xf>
    <xf numFmtId="180" fontId="6" fillId="0" borderId="29" xfId="3" applyNumberFormat="1" applyFont="1" applyBorder="1" applyAlignment="1">
      <alignment vertical="center"/>
    </xf>
    <xf numFmtId="180" fontId="0" fillId="0" borderId="29" xfId="3" applyNumberFormat="1" applyFont="1" applyBorder="1" applyAlignment="1">
      <alignment vertical="center"/>
    </xf>
    <xf numFmtId="0" fontId="6" fillId="0" borderId="30" xfId="2" applyFont="1" applyBorder="1" applyAlignment="1">
      <alignment vertical="center"/>
    </xf>
    <xf numFmtId="0" fontId="6" fillId="2" borderId="31" xfId="2" applyFont="1" applyFill="1" applyBorder="1" applyAlignment="1">
      <alignment vertical="center"/>
    </xf>
    <xf numFmtId="0" fontId="6" fillId="2" borderId="11" xfId="2" applyFont="1" applyFill="1" applyBorder="1" applyAlignment="1">
      <alignment vertical="center"/>
    </xf>
    <xf numFmtId="41" fontId="6" fillId="2" borderId="12" xfId="3" applyFont="1" applyFill="1" applyBorder="1" applyAlignment="1">
      <alignment vertical="center"/>
    </xf>
    <xf numFmtId="180" fontId="6" fillId="3" borderId="29" xfId="3" applyNumberFormat="1" applyFont="1" applyFill="1" applyBorder="1" applyAlignment="1">
      <alignment vertical="center"/>
    </xf>
    <xf numFmtId="41" fontId="0" fillId="2" borderId="12" xfId="3" applyFont="1" applyFill="1" applyBorder="1" applyAlignment="1">
      <alignment vertical="center"/>
    </xf>
    <xf numFmtId="180" fontId="0" fillId="3" borderId="29" xfId="3" applyNumberFormat="1" applyFont="1" applyFill="1" applyBorder="1" applyAlignment="1">
      <alignment vertical="center"/>
    </xf>
    <xf numFmtId="181" fontId="6" fillId="2" borderId="12" xfId="0" applyNumberFormat="1" applyFont="1" applyFill="1" applyBorder="1">
      <alignment vertical="center"/>
    </xf>
    <xf numFmtId="180" fontId="7" fillId="3" borderId="29" xfId="0" applyNumberFormat="1" applyFont="1" applyFill="1" applyBorder="1">
      <alignment vertical="center"/>
    </xf>
    <xf numFmtId="41" fontId="6" fillId="0" borderId="32" xfId="3" applyFont="1" applyBorder="1" applyAlignment="1">
      <alignment vertical="center"/>
    </xf>
    <xf numFmtId="182" fontId="6" fillId="0" borderId="29" xfId="3" applyNumberFormat="1" applyFont="1" applyBorder="1" applyAlignment="1">
      <alignment vertical="center"/>
    </xf>
    <xf numFmtId="182" fontId="0" fillId="0" borderId="15" xfId="3" applyNumberFormat="1" applyFont="1" applyBorder="1" applyAlignment="1">
      <alignment vertical="center"/>
    </xf>
    <xf numFmtId="41" fontId="0" fillId="0" borderId="32" xfId="3" applyFont="1" applyBorder="1" applyAlignment="1">
      <alignment vertical="center"/>
    </xf>
    <xf numFmtId="0" fontId="6" fillId="0" borderId="33" xfId="2" applyFont="1" applyBorder="1" applyAlignment="1">
      <alignment vertical="center"/>
    </xf>
    <xf numFmtId="0" fontId="6" fillId="4" borderId="11" xfId="4" applyFont="1" applyFill="1" applyBorder="1" applyAlignment="1">
      <alignment vertical="center"/>
    </xf>
    <xf numFmtId="0" fontId="6" fillId="0" borderId="34" xfId="2" applyFont="1" applyBorder="1" applyAlignment="1">
      <alignment horizontal="center" vertical="center" wrapText="1"/>
    </xf>
    <xf numFmtId="41" fontId="6" fillId="0" borderId="32" xfId="1" applyFont="1" applyBorder="1" applyAlignment="1">
      <alignment vertical="center"/>
    </xf>
    <xf numFmtId="41" fontId="0" fillId="0" borderId="32" xfId="1" applyFont="1" applyBorder="1" applyAlignment="1">
      <alignment vertical="center"/>
    </xf>
    <xf numFmtId="0" fontId="6" fillId="2" borderId="15" xfId="2" applyFont="1" applyFill="1" applyBorder="1" applyAlignment="1">
      <alignment vertical="center"/>
    </xf>
    <xf numFmtId="0" fontId="6" fillId="2" borderId="14" xfId="4" applyFont="1" applyFill="1" applyBorder="1" applyAlignment="1">
      <alignment vertical="center"/>
    </xf>
    <xf numFmtId="41" fontId="6" fillId="2" borderId="32" xfId="3" applyFont="1" applyFill="1" applyBorder="1" applyAlignment="1">
      <alignment vertical="center"/>
    </xf>
    <xf numFmtId="182" fontId="6" fillId="2" borderId="35" xfId="3" applyNumberFormat="1" applyFont="1" applyFill="1" applyBorder="1" applyAlignment="1">
      <alignment vertical="center"/>
    </xf>
    <xf numFmtId="41" fontId="0" fillId="2" borderId="32" xfId="3" applyFont="1" applyFill="1" applyBorder="1" applyAlignment="1">
      <alignment vertical="center"/>
    </xf>
    <xf numFmtId="182" fontId="0" fillId="2" borderId="11" xfId="3" applyNumberFormat="1" applyFont="1" applyFill="1" applyBorder="1" applyAlignment="1">
      <alignment vertical="center"/>
    </xf>
    <xf numFmtId="182" fontId="6" fillId="2" borderId="11" xfId="3" applyNumberFormat="1" applyFont="1" applyFill="1" applyBorder="1" applyAlignment="1">
      <alignment vertical="center"/>
    </xf>
    <xf numFmtId="41" fontId="6" fillId="2" borderId="5" xfId="3" applyFont="1" applyFill="1" applyBorder="1" applyAlignment="1">
      <alignment vertical="center"/>
    </xf>
    <xf numFmtId="180" fontId="6" fillId="3" borderId="36" xfId="3" applyNumberFormat="1" applyFont="1" applyFill="1" applyBorder="1" applyAlignment="1">
      <alignment vertical="center"/>
    </xf>
    <xf numFmtId="41" fontId="0" fillId="2" borderId="5" xfId="3" applyFont="1" applyFill="1" applyBorder="1" applyAlignment="1">
      <alignment vertical="center"/>
    </xf>
    <xf numFmtId="180" fontId="0" fillId="3" borderId="36" xfId="3" applyNumberFormat="1" applyFont="1" applyFill="1" applyBorder="1" applyAlignment="1">
      <alignment vertical="center"/>
    </xf>
    <xf numFmtId="3" fontId="6" fillId="2" borderId="5" xfId="0" applyNumberFormat="1" applyFont="1" applyFill="1" applyBorder="1">
      <alignment vertical="center"/>
    </xf>
    <xf numFmtId="180" fontId="7" fillId="3" borderId="36" xfId="0" applyNumberFormat="1" applyFont="1" applyFill="1" applyBorder="1">
      <alignment vertical="center"/>
    </xf>
    <xf numFmtId="41" fontId="6" fillId="5" borderId="37" xfId="3" applyFont="1" applyFill="1" applyBorder="1" applyAlignment="1">
      <alignment vertical="center"/>
    </xf>
    <xf numFmtId="180" fontId="6" fillId="5" borderId="38" xfId="3" applyNumberFormat="1" applyFont="1" applyFill="1" applyBorder="1" applyAlignment="1">
      <alignment vertical="center"/>
    </xf>
    <xf numFmtId="41" fontId="0" fillId="5" borderId="37" xfId="3" applyFont="1" applyFill="1" applyBorder="1" applyAlignment="1">
      <alignment vertical="center"/>
    </xf>
    <xf numFmtId="180" fontId="0" fillId="5" borderId="38" xfId="3" applyNumberFormat="1" applyFont="1" applyFill="1" applyBorder="1" applyAlignment="1">
      <alignment vertical="center"/>
    </xf>
    <xf numFmtId="3" fontId="6" fillId="5" borderId="37" xfId="0" applyNumberFormat="1" applyFont="1" applyFill="1" applyBorder="1">
      <alignment vertical="center"/>
    </xf>
    <xf numFmtId="180" fontId="7" fillId="5" borderId="38" xfId="0" applyNumberFormat="1" applyFont="1" applyFill="1" applyBorder="1">
      <alignment vertical="center"/>
    </xf>
    <xf numFmtId="41" fontId="6" fillId="5" borderId="5" xfId="3" applyFont="1" applyFill="1" applyBorder="1" applyAlignment="1">
      <alignment vertical="center"/>
    </xf>
    <xf numFmtId="182" fontId="6" fillId="5" borderId="6" xfId="3" applyNumberFormat="1" applyFont="1" applyFill="1" applyBorder="1" applyAlignment="1">
      <alignment vertical="center"/>
    </xf>
    <xf numFmtId="41" fontId="0" fillId="5" borderId="5" xfId="3" applyFont="1" applyFill="1" applyBorder="1" applyAlignment="1">
      <alignment vertical="center"/>
    </xf>
    <xf numFmtId="182" fontId="0" fillId="5" borderId="39" xfId="3" applyNumberFormat="1" applyFont="1" applyFill="1" applyBorder="1" applyAlignment="1">
      <alignment vertical="center"/>
    </xf>
    <xf numFmtId="3" fontId="6" fillId="5" borderId="5" xfId="0" applyNumberFormat="1" applyFont="1" applyFill="1" applyBorder="1">
      <alignment vertical="center"/>
    </xf>
    <xf numFmtId="182" fontId="6" fillId="5" borderId="6" xfId="0" applyNumberFormat="1" applyFont="1" applyFill="1" applyBorder="1">
      <alignment vertical="center"/>
    </xf>
    <xf numFmtId="182" fontId="0" fillId="0" borderId="7" xfId="3" applyNumberFormat="1" applyFont="1" applyBorder="1" applyAlignment="1">
      <alignment horizontal="center" vertical="center"/>
    </xf>
    <xf numFmtId="182" fontId="0" fillId="0" borderId="9" xfId="3" applyNumberFormat="1" applyFont="1" applyBorder="1" applyAlignment="1">
      <alignment horizontal="center" vertical="center"/>
    </xf>
    <xf numFmtId="182" fontId="6" fillId="0" borderId="7" xfId="3" applyNumberFormat="1" applyFont="1" applyBorder="1" applyAlignment="1">
      <alignment horizontal="center" vertical="center"/>
    </xf>
    <xf numFmtId="182" fontId="6" fillId="0" borderId="9" xfId="3" applyNumberFormat="1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3" fontId="0" fillId="0" borderId="12" xfId="5" applyNumberFormat="1" applyFont="1" applyBorder="1" applyAlignment="1">
      <alignment horizontal="center" vertical="center"/>
    </xf>
    <xf numFmtId="3" fontId="0" fillId="0" borderId="13" xfId="5" applyNumberFormat="1" applyFont="1" applyBorder="1" applyAlignment="1">
      <alignment horizontal="center" vertical="center"/>
    </xf>
    <xf numFmtId="3" fontId="0" fillId="0" borderId="12" xfId="5" applyNumberFormat="1" applyFont="1" applyBorder="1" applyAlignment="1">
      <alignment horizontal="center" vertical="center" wrapText="1"/>
    </xf>
    <xf numFmtId="3" fontId="0" fillId="0" borderId="13" xfId="5" applyNumberFormat="1" applyFont="1" applyBorder="1" applyAlignment="1">
      <alignment horizontal="center" vertical="center" wrapText="1"/>
    </xf>
    <xf numFmtId="3" fontId="6" fillId="0" borderId="12" xfId="5" applyNumberFormat="1" applyFont="1" applyBorder="1" applyAlignment="1">
      <alignment horizontal="center" vertical="center"/>
    </xf>
    <xf numFmtId="3" fontId="6" fillId="0" borderId="13" xfId="5" applyNumberFormat="1" applyFont="1" applyBorder="1" applyAlignment="1">
      <alignment horizontal="center" vertical="center"/>
    </xf>
    <xf numFmtId="3" fontId="5" fillId="0" borderId="13" xfId="5" applyNumberFormat="1" applyBorder="1" applyAlignment="1">
      <alignment horizontal="center" vertical="center"/>
    </xf>
    <xf numFmtId="3" fontId="6" fillId="0" borderId="12" xfId="5" applyNumberFormat="1" applyFont="1" applyBorder="1" applyAlignment="1">
      <alignment horizontal="center" vertical="center" wrapText="1"/>
    </xf>
    <xf numFmtId="3" fontId="6" fillId="0" borderId="13" xfId="5" applyNumberFormat="1" applyFont="1" applyBorder="1" applyAlignment="1">
      <alignment horizontal="center" vertical="center" wrapText="1"/>
    </xf>
    <xf numFmtId="3" fontId="5" fillId="0" borderId="12" xfId="5" applyNumberForma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0" fontId="6" fillId="0" borderId="42" xfId="0" applyFont="1" applyBorder="1">
      <alignment vertical="center"/>
    </xf>
    <xf numFmtId="3" fontId="0" fillId="0" borderId="20" xfId="0" applyNumberFormat="1" applyBorder="1" applyAlignment="1">
      <alignment horizontal="center" vertical="center"/>
    </xf>
    <xf numFmtId="3" fontId="0" fillId="0" borderId="20" xfId="5" applyNumberFormat="1" applyFont="1" applyBorder="1" applyAlignment="1">
      <alignment horizontal="center" vertical="center" wrapText="1"/>
    </xf>
    <xf numFmtId="3" fontId="0" fillId="0" borderId="21" xfId="5" applyNumberFormat="1" applyFont="1" applyBorder="1" applyAlignment="1">
      <alignment horizontal="center" vertical="center" wrapText="1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182" fontId="0" fillId="0" borderId="43" xfId="3" applyNumberFormat="1" applyFont="1" applyBorder="1" applyAlignment="1">
      <alignment horizontal="center" vertical="center"/>
    </xf>
    <xf numFmtId="182" fontId="0" fillId="0" borderId="44" xfId="3" applyNumberFormat="1" applyFont="1" applyBorder="1" applyAlignment="1">
      <alignment horizontal="center" vertical="center"/>
    </xf>
    <xf numFmtId="182" fontId="6" fillId="0" borderId="43" xfId="3" applyNumberFormat="1" applyFont="1" applyBorder="1" applyAlignment="1">
      <alignment horizontal="center" vertical="center"/>
    </xf>
    <xf numFmtId="182" fontId="6" fillId="0" borderId="44" xfId="3" applyNumberFormat="1" applyFon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45" xfId="0" applyFont="1" applyBorder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6" fillId="0" borderId="40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6" fillId="5" borderId="20" xfId="2" applyFont="1" applyFill="1" applyBorder="1" applyAlignment="1">
      <alignment vertical="center" wrapText="1"/>
    </xf>
    <xf numFmtId="0" fontId="6" fillId="5" borderId="27" xfId="2" applyFont="1" applyFill="1" applyBorder="1" applyAlignment="1">
      <alignment vertical="center" wrapText="1"/>
    </xf>
    <xf numFmtId="0" fontId="6" fillId="5" borderId="21" xfId="2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3" fontId="6" fillId="0" borderId="10" xfId="2" applyNumberFormat="1" applyFont="1" applyBorder="1" applyAlignment="1">
      <alignment vertical="center"/>
    </xf>
    <xf numFmtId="3" fontId="6" fillId="0" borderId="45" xfId="2" applyNumberFormat="1" applyFont="1" applyBorder="1" applyAlignment="1">
      <alignment vertical="center"/>
    </xf>
    <xf numFmtId="3" fontId="6" fillId="0" borderId="46" xfId="2" applyNumberFormat="1" applyFont="1" applyBorder="1" applyAlignment="1">
      <alignment vertical="center"/>
    </xf>
    <xf numFmtId="3" fontId="6" fillId="0" borderId="20" xfId="2" applyNumberFormat="1" applyFont="1" applyBorder="1" applyAlignment="1">
      <alignment vertical="center"/>
    </xf>
    <xf numFmtId="3" fontId="6" fillId="0" borderId="27" xfId="2" applyNumberFormat="1" applyFont="1" applyBorder="1" applyAlignment="1">
      <alignment vertical="center"/>
    </xf>
    <xf numFmtId="3" fontId="6" fillId="0" borderId="21" xfId="2" applyNumberFormat="1" applyFont="1" applyBorder="1" applyAlignment="1">
      <alignment vertical="center"/>
    </xf>
    <xf numFmtId="0" fontId="6" fillId="0" borderId="22" xfId="2" applyFont="1" applyBorder="1" applyAlignment="1">
      <alignment vertical="center" wrapText="1"/>
    </xf>
    <xf numFmtId="0" fontId="6" fillId="0" borderId="17" xfId="2" applyFont="1" applyBorder="1" applyAlignment="1">
      <alignment vertical="center"/>
    </xf>
    <xf numFmtId="0" fontId="6" fillId="0" borderId="18" xfId="2" applyFont="1" applyBorder="1" applyAlignment="1">
      <alignment vertical="center"/>
    </xf>
    <xf numFmtId="0" fontId="6" fillId="0" borderId="19" xfId="2" applyFont="1" applyBorder="1" applyAlignment="1">
      <alignment vertical="center"/>
    </xf>
    <xf numFmtId="0" fontId="6" fillId="2" borderId="17" xfId="2" applyFont="1" applyFill="1" applyBorder="1" applyAlignment="1">
      <alignment vertical="center" wrapText="1"/>
    </xf>
    <xf numFmtId="0" fontId="6" fillId="2" borderId="18" xfId="2" applyFont="1" applyFill="1" applyBorder="1" applyAlignment="1">
      <alignment vertical="center" wrapText="1"/>
    </xf>
    <xf numFmtId="0" fontId="6" fillId="2" borderId="19" xfId="2" applyFont="1" applyFill="1" applyBorder="1" applyAlignment="1">
      <alignment vertical="center" wrapText="1"/>
    </xf>
    <xf numFmtId="0" fontId="6" fillId="5" borderId="7" xfId="2" applyFont="1" applyFill="1" applyBorder="1" applyAlignment="1">
      <alignment vertical="center" wrapText="1"/>
    </xf>
    <xf numFmtId="0" fontId="6" fillId="5" borderId="8" xfId="2" applyFont="1" applyFill="1" applyBorder="1" applyAlignment="1">
      <alignment vertical="center" wrapText="1"/>
    </xf>
    <xf numFmtId="0" fontId="6" fillId="5" borderId="9" xfId="2" applyFont="1" applyFill="1" applyBorder="1" applyAlignment="1">
      <alignment vertical="center" wrapText="1"/>
    </xf>
    <xf numFmtId="3" fontId="6" fillId="0" borderId="10" xfId="2" applyNumberFormat="1" applyFont="1" applyBorder="1" applyAlignment="1">
      <alignment vertical="center" wrapText="1"/>
    </xf>
    <xf numFmtId="3" fontId="6" fillId="0" borderId="45" xfId="2" applyNumberFormat="1" applyFont="1" applyBorder="1" applyAlignment="1">
      <alignment vertical="center" wrapText="1"/>
    </xf>
    <xf numFmtId="3" fontId="6" fillId="0" borderId="46" xfId="2" applyNumberFormat="1" applyFont="1" applyBorder="1" applyAlignment="1">
      <alignment vertical="center" wrapText="1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13" fillId="0" borderId="25" xfId="2" applyFont="1" applyBorder="1" applyAlignment="1">
      <alignment horizontal="center" vertical="center" wrapText="1"/>
    </xf>
  </cellXfs>
  <cellStyles count="6">
    <cellStyle name="쉼표 [0]" xfId="1" builtinId="6"/>
    <cellStyle name="쉼표 [0] 2" xfId="3" xr:uid="{81852FC0-62E5-4AF9-96EB-AD729F3ABBD8}"/>
    <cellStyle name="표준" xfId="0" builtinId="0"/>
    <cellStyle name="표준 6" xfId="2" xr:uid="{AF9C26D2-922C-4C80-B261-3A4223D59D58}"/>
    <cellStyle name="표준 9" xfId="5" xr:uid="{BAF76777-8ECE-4600-BE14-A19403316FE3}"/>
    <cellStyle name="표준_마감비교보고(조정후)" xfId="4" xr:uid="{8C40A4FC-D121-4F38-B5DF-E44E579F08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A97B-4F94-414F-A965-D8F30CA63B55}">
  <dimension ref="A1:HA48"/>
  <sheetViews>
    <sheetView tabSelected="1" topLeftCell="A3" workbookViewId="0">
      <selection activeCell="F23" sqref="F23"/>
    </sheetView>
  </sheetViews>
  <sheetFormatPr defaultRowHeight="16.5" x14ac:dyDescent="0.3"/>
  <sheetData>
    <row r="1" spans="1:209" ht="16.5" customHeight="1" x14ac:dyDescent="0.3">
      <c r="D1" s="1" t="s">
        <v>0</v>
      </c>
      <c r="E1" s="2"/>
      <c r="F1" s="1" t="s">
        <v>1</v>
      </c>
      <c r="G1" s="2"/>
      <c r="H1" s="1" t="s">
        <v>2</v>
      </c>
      <c r="I1" s="2"/>
      <c r="J1" s="1" t="s">
        <v>3</v>
      </c>
      <c r="K1" s="2"/>
      <c r="L1" s="1" t="s">
        <v>4</v>
      </c>
      <c r="M1" s="2"/>
      <c r="N1" s="1" t="s">
        <v>5</v>
      </c>
      <c r="O1" s="2"/>
      <c r="P1" s="1" t="s">
        <v>6</v>
      </c>
      <c r="Q1" s="2"/>
      <c r="R1" s="1" t="s">
        <v>7</v>
      </c>
      <c r="S1" s="2"/>
      <c r="T1" s="1" t="s">
        <v>8</v>
      </c>
      <c r="U1" s="2"/>
      <c r="V1" s="1" t="s">
        <v>9</v>
      </c>
      <c r="W1" s="2"/>
      <c r="X1" s="1" t="s">
        <v>10</v>
      </c>
      <c r="Y1" s="2"/>
      <c r="Z1" s="1" t="s">
        <v>11</v>
      </c>
      <c r="AA1" s="2"/>
      <c r="AB1" s="1" t="s">
        <v>12</v>
      </c>
      <c r="AC1" s="2"/>
      <c r="AD1" s="1" t="s">
        <v>13</v>
      </c>
      <c r="AE1" s="2"/>
      <c r="AF1" s="1" t="s">
        <v>14</v>
      </c>
      <c r="AG1" s="2"/>
      <c r="AH1" s="1" t="s">
        <v>15</v>
      </c>
      <c r="AI1" s="2"/>
      <c r="AJ1" s="1" t="s">
        <v>16</v>
      </c>
      <c r="AK1" s="2"/>
      <c r="AL1" s="1" t="s">
        <v>17</v>
      </c>
      <c r="AM1" s="2"/>
      <c r="AN1" s="1" t="s">
        <v>18</v>
      </c>
      <c r="AO1" s="2"/>
      <c r="AP1" s="1" t="s">
        <v>19</v>
      </c>
      <c r="AQ1" s="2"/>
      <c r="AR1" s="1" t="s">
        <v>20</v>
      </c>
      <c r="AS1" s="2"/>
      <c r="AT1" s="1" t="s">
        <v>21</v>
      </c>
      <c r="AU1" s="2"/>
      <c r="AV1" s="1" t="s">
        <v>22</v>
      </c>
      <c r="AW1" s="2"/>
      <c r="AX1" s="1" t="s">
        <v>23</v>
      </c>
      <c r="AY1" s="2"/>
      <c r="AZ1" s="1" t="s">
        <v>24</v>
      </c>
      <c r="BA1" s="2"/>
      <c r="BB1" s="1" t="s">
        <v>25</v>
      </c>
      <c r="BC1" s="2"/>
      <c r="BD1" s="1" t="s">
        <v>26</v>
      </c>
      <c r="BE1" s="2"/>
      <c r="BF1" s="1" t="s">
        <v>27</v>
      </c>
      <c r="BG1" s="2"/>
      <c r="BH1" s="1" t="s">
        <v>28</v>
      </c>
      <c r="BI1" s="2"/>
      <c r="BJ1" s="1" t="s">
        <v>29</v>
      </c>
      <c r="BK1" s="2"/>
      <c r="BL1" s="1" t="s">
        <v>30</v>
      </c>
      <c r="BM1" s="2"/>
      <c r="BN1" s="1" t="s">
        <v>31</v>
      </c>
      <c r="BO1" s="2"/>
      <c r="BP1" s="1" t="s">
        <v>32</v>
      </c>
      <c r="BQ1" s="2"/>
      <c r="BR1" s="1" t="s">
        <v>33</v>
      </c>
      <c r="BS1" s="2"/>
      <c r="BT1" s="1" t="s">
        <v>34</v>
      </c>
      <c r="BU1" s="2"/>
      <c r="BV1" s="1" t="s">
        <v>35</v>
      </c>
      <c r="BW1" s="2"/>
      <c r="BX1" s="1" t="s">
        <v>36</v>
      </c>
      <c r="BY1" s="2"/>
      <c r="BZ1" s="1" t="s">
        <v>37</v>
      </c>
      <c r="CA1" s="2"/>
      <c r="CB1" s="1" t="s">
        <v>38</v>
      </c>
      <c r="CC1" s="2"/>
      <c r="CD1" s="1" t="s">
        <v>39</v>
      </c>
      <c r="CE1" s="2"/>
      <c r="CF1" s="1" t="s">
        <v>40</v>
      </c>
      <c r="CG1" s="2"/>
      <c r="CH1" s="1" t="s">
        <v>41</v>
      </c>
      <c r="CI1" s="2"/>
      <c r="CJ1" s="1" t="s">
        <v>42</v>
      </c>
      <c r="CK1" s="2"/>
      <c r="CL1" s="1" t="s">
        <v>43</v>
      </c>
      <c r="CM1" s="2"/>
      <c r="CN1" s="1" t="s">
        <v>44</v>
      </c>
      <c r="CO1" s="2"/>
      <c r="CP1" s="1" t="s">
        <v>45</v>
      </c>
      <c r="CQ1" s="2"/>
      <c r="CR1" s="1" t="s">
        <v>46</v>
      </c>
      <c r="CS1" s="2"/>
      <c r="CT1" s="1" t="s">
        <v>47</v>
      </c>
      <c r="CU1" s="2"/>
      <c r="CV1" s="1" t="s">
        <v>48</v>
      </c>
      <c r="CW1" s="2"/>
      <c r="CX1" s="1" t="s">
        <v>49</v>
      </c>
      <c r="CY1" s="2"/>
      <c r="CZ1" s="1" t="s">
        <v>50</v>
      </c>
      <c r="DA1" s="2"/>
      <c r="DB1" s="1" t="s">
        <v>51</v>
      </c>
      <c r="DC1" s="2"/>
      <c r="DD1" s="1" t="s">
        <v>52</v>
      </c>
      <c r="DE1" s="2"/>
      <c r="DF1" s="1" t="s">
        <v>53</v>
      </c>
      <c r="DG1" s="2"/>
      <c r="DH1" s="1" t="s">
        <v>54</v>
      </c>
      <c r="DI1" s="2"/>
      <c r="DJ1" s="1" t="s">
        <v>55</v>
      </c>
      <c r="DK1" s="2"/>
      <c r="DL1" s="1" t="s">
        <v>56</v>
      </c>
      <c r="DM1" s="2"/>
      <c r="DN1" s="1" t="s">
        <v>22</v>
      </c>
      <c r="DO1" s="2"/>
      <c r="DP1" s="1" t="s">
        <v>57</v>
      </c>
      <c r="DQ1" s="2"/>
      <c r="DR1" s="1" t="s">
        <v>58</v>
      </c>
      <c r="DS1" s="2"/>
      <c r="DT1" s="1" t="s">
        <v>59</v>
      </c>
      <c r="DU1" s="2"/>
      <c r="DV1" s="1" t="s">
        <v>60</v>
      </c>
      <c r="DW1" s="2"/>
      <c r="DX1" s="1" t="s">
        <v>61</v>
      </c>
      <c r="DY1" s="2"/>
      <c r="DZ1" s="1" t="s">
        <v>62</v>
      </c>
      <c r="EA1" s="2"/>
      <c r="EB1" s="1" t="s">
        <v>63</v>
      </c>
      <c r="EC1" s="2"/>
      <c r="ED1" s="1" t="s">
        <v>64</v>
      </c>
      <c r="EE1" s="2"/>
      <c r="EF1" s="1" t="s">
        <v>65</v>
      </c>
      <c r="EG1" s="2"/>
      <c r="EH1" s="1" t="s">
        <v>54</v>
      </c>
      <c r="EI1" s="2"/>
      <c r="EJ1" s="1" t="s">
        <v>66</v>
      </c>
      <c r="EK1" s="2"/>
      <c r="EL1" s="1" t="s">
        <v>67</v>
      </c>
      <c r="EM1" s="2"/>
      <c r="EN1" s="1" t="s">
        <v>68</v>
      </c>
      <c r="EO1" s="2"/>
      <c r="EP1" s="1" t="s">
        <v>69</v>
      </c>
      <c r="EQ1" s="2"/>
      <c r="ER1" s="1" t="s">
        <v>70</v>
      </c>
      <c r="ES1" s="2"/>
      <c r="ET1" s="1" t="s">
        <v>71</v>
      </c>
      <c r="EU1" s="2"/>
      <c r="EV1" s="1" t="s">
        <v>72</v>
      </c>
      <c r="EW1" s="2"/>
      <c r="EX1" s="1" t="s">
        <v>73</v>
      </c>
      <c r="EY1" s="2"/>
      <c r="EZ1" s="1" t="s">
        <v>74</v>
      </c>
      <c r="FA1" s="2"/>
      <c r="FB1" s="1" t="s">
        <v>75</v>
      </c>
      <c r="FC1" s="2"/>
      <c r="FD1" s="1" t="s">
        <v>76</v>
      </c>
      <c r="FE1" s="2"/>
      <c r="FF1" s="1" t="s">
        <v>77</v>
      </c>
      <c r="FG1" s="2"/>
      <c r="FH1" s="1" t="s">
        <v>78</v>
      </c>
      <c r="FI1" s="2"/>
      <c r="FJ1" s="1" t="s">
        <v>79</v>
      </c>
      <c r="FK1" s="2"/>
      <c r="FL1" s="1" t="s">
        <v>80</v>
      </c>
      <c r="FM1" s="2"/>
      <c r="FN1" s="1" t="s">
        <v>81</v>
      </c>
      <c r="FO1" s="2"/>
      <c r="FP1" s="1" t="s">
        <v>82</v>
      </c>
      <c r="FQ1" s="2"/>
      <c r="FR1" s="1" t="s">
        <v>83</v>
      </c>
      <c r="FS1" s="2"/>
      <c r="FT1" s="1" t="s">
        <v>84</v>
      </c>
      <c r="FU1" s="2"/>
      <c r="FV1" s="1" t="s">
        <v>85</v>
      </c>
      <c r="FW1" s="2"/>
      <c r="FX1" s="1" t="s">
        <v>86</v>
      </c>
      <c r="FY1" s="2"/>
      <c r="FZ1" s="1" t="s">
        <v>70</v>
      </c>
      <c r="GA1" s="2"/>
      <c r="GB1" s="1" t="s">
        <v>71</v>
      </c>
      <c r="GC1" s="2"/>
      <c r="GD1" s="1" t="s">
        <v>87</v>
      </c>
      <c r="GE1" s="2"/>
      <c r="GF1" s="1" t="s">
        <v>88</v>
      </c>
      <c r="GG1" s="2"/>
      <c r="GH1" s="1" t="s">
        <v>89</v>
      </c>
      <c r="GI1" s="2"/>
      <c r="GJ1" s="1" t="s">
        <v>90</v>
      </c>
      <c r="GK1" s="2"/>
      <c r="GL1" s="1" t="s">
        <v>91</v>
      </c>
      <c r="GM1" s="2"/>
      <c r="GN1" s="1" t="s">
        <v>92</v>
      </c>
      <c r="GO1" s="2"/>
      <c r="GP1" s="1" t="s">
        <v>93</v>
      </c>
      <c r="GQ1" s="2"/>
      <c r="GR1" s="1" t="s">
        <v>94</v>
      </c>
      <c r="GS1" s="2"/>
      <c r="GT1" s="1" t="s">
        <v>95</v>
      </c>
      <c r="GU1" s="2"/>
      <c r="GV1" s="1" t="s">
        <v>96</v>
      </c>
      <c r="GW1" s="2"/>
      <c r="GX1" s="1" t="s">
        <v>97</v>
      </c>
      <c r="GY1" s="2"/>
      <c r="GZ1" s="1" t="s">
        <v>98</v>
      </c>
      <c r="HA1" s="2"/>
    </row>
    <row r="2" spans="1:209" x14ac:dyDescent="0.3">
      <c r="D2" s="3"/>
      <c r="E2" s="4"/>
      <c r="F2" s="3"/>
      <c r="G2" s="4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3"/>
      <c r="AC2" s="4"/>
      <c r="AD2" s="3"/>
      <c r="AE2" s="4"/>
      <c r="AF2" s="3"/>
      <c r="AG2" s="4"/>
      <c r="AH2" s="3"/>
      <c r="AI2" s="4"/>
      <c r="AJ2" s="3"/>
      <c r="AK2" s="4"/>
      <c r="AL2" s="3"/>
      <c r="AM2" s="4"/>
      <c r="AN2" s="3"/>
      <c r="AO2" s="4"/>
      <c r="AP2" s="3"/>
      <c r="AQ2" s="4"/>
      <c r="AR2" s="3"/>
      <c r="AS2" s="4"/>
      <c r="AT2" s="3"/>
      <c r="AU2" s="4"/>
      <c r="AV2" s="3"/>
      <c r="AW2" s="4"/>
      <c r="AX2" s="3"/>
      <c r="AY2" s="4"/>
      <c r="AZ2" s="3"/>
      <c r="BA2" s="4"/>
      <c r="BB2" s="3"/>
      <c r="BC2" s="4"/>
      <c r="BD2" s="3"/>
      <c r="BE2" s="4"/>
      <c r="BF2" s="3"/>
      <c r="BG2" s="4"/>
      <c r="BH2" s="3"/>
      <c r="BI2" s="4"/>
      <c r="BJ2" s="3"/>
      <c r="BK2" s="4"/>
      <c r="BL2" s="3"/>
      <c r="BM2" s="4"/>
      <c r="BN2" s="3"/>
      <c r="BO2" s="4"/>
      <c r="BP2" s="3"/>
      <c r="BQ2" s="4"/>
      <c r="BR2" s="3"/>
      <c r="BS2" s="4"/>
      <c r="BT2" s="3"/>
      <c r="BU2" s="4"/>
      <c r="BV2" s="3"/>
      <c r="BW2" s="4"/>
      <c r="BX2" s="3"/>
      <c r="BY2" s="4"/>
      <c r="BZ2" s="3"/>
      <c r="CA2" s="4"/>
      <c r="CB2" s="3"/>
      <c r="CC2" s="4"/>
      <c r="CD2" s="3"/>
      <c r="CE2" s="4"/>
      <c r="CF2" s="3"/>
      <c r="CG2" s="4"/>
      <c r="CH2" s="3"/>
      <c r="CI2" s="4"/>
      <c r="CJ2" s="3"/>
      <c r="CK2" s="4"/>
      <c r="CL2" s="3"/>
      <c r="CM2" s="4"/>
      <c r="CN2" s="3"/>
      <c r="CO2" s="4"/>
      <c r="CP2" s="3"/>
      <c r="CQ2" s="4"/>
      <c r="CR2" s="3"/>
      <c r="CS2" s="4"/>
      <c r="CT2" s="3"/>
      <c r="CU2" s="4"/>
      <c r="CV2" s="3"/>
      <c r="CW2" s="4"/>
      <c r="CX2" s="3"/>
      <c r="CY2" s="4"/>
      <c r="CZ2" s="3"/>
      <c r="DA2" s="4"/>
      <c r="DB2" s="3"/>
      <c r="DC2" s="4"/>
      <c r="DD2" s="3"/>
      <c r="DE2" s="4"/>
      <c r="DF2" s="3"/>
      <c r="DG2" s="4"/>
      <c r="DH2" s="3"/>
      <c r="DI2" s="4"/>
      <c r="DJ2" s="3"/>
      <c r="DK2" s="4"/>
      <c r="DL2" s="3"/>
      <c r="DM2" s="4"/>
      <c r="DN2" s="3"/>
      <c r="DO2" s="4"/>
      <c r="DP2" s="3"/>
      <c r="DQ2" s="4"/>
      <c r="DR2" s="3"/>
      <c r="DS2" s="4"/>
      <c r="DT2" s="3"/>
      <c r="DU2" s="4"/>
      <c r="DV2" s="3"/>
      <c r="DW2" s="4"/>
      <c r="DX2" s="3"/>
      <c r="DY2" s="4"/>
      <c r="DZ2" s="3"/>
      <c r="EA2" s="4"/>
      <c r="EB2" s="3"/>
      <c r="EC2" s="4"/>
      <c r="ED2" s="3"/>
      <c r="EE2" s="4"/>
      <c r="EF2" s="3"/>
      <c r="EG2" s="4"/>
      <c r="EH2" s="3"/>
      <c r="EI2" s="4"/>
      <c r="EJ2" s="3"/>
      <c r="EK2" s="4"/>
      <c r="EL2" s="3"/>
      <c r="EM2" s="4"/>
      <c r="EN2" s="3"/>
      <c r="EO2" s="4"/>
      <c r="EP2" s="3"/>
      <c r="EQ2" s="4"/>
      <c r="ER2" s="3"/>
      <c r="ES2" s="4"/>
      <c r="ET2" s="3"/>
      <c r="EU2" s="4"/>
      <c r="EV2" s="3"/>
      <c r="EW2" s="4"/>
      <c r="EX2" s="3"/>
      <c r="EY2" s="4"/>
      <c r="EZ2" s="3"/>
      <c r="FA2" s="4"/>
      <c r="FB2" s="3"/>
      <c r="FC2" s="4"/>
      <c r="FD2" s="3"/>
      <c r="FE2" s="4"/>
      <c r="FF2" s="3"/>
      <c r="FG2" s="4"/>
      <c r="FH2" s="3"/>
      <c r="FI2" s="4"/>
      <c r="FJ2" s="3"/>
      <c r="FK2" s="4"/>
      <c r="FL2" s="3"/>
      <c r="FM2" s="4"/>
      <c r="FN2" s="3"/>
      <c r="FO2" s="4"/>
      <c r="FP2" s="3"/>
      <c r="FQ2" s="4"/>
      <c r="FR2" s="3"/>
      <c r="FS2" s="4"/>
      <c r="FT2" s="3"/>
      <c r="FU2" s="4"/>
      <c r="FV2" s="3"/>
      <c r="FW2" s="4"/>
      <c r="FX2" s="3"/>
      <c r="FY2" s="4"/>
      <c r="FZ2" s="3"/>
      <c r="GA2" s="4"/>
      <c r="GB2" s="3"/>
      <c r="GC2" s="4"/>
      <c r="GD2" s="3"/>
      <c r="GE2" s="4"/>
      <c r="GF2" s="3"/>
      <c r="GG2" s="4"/>
      <c r="GH2" s="3"/>
      <c r="GI2" s="4"/>
      <c r="GJ2" s="3"/>
      <c r="GK2" s="4"/>
      <c r="GL2" s="3"/>
      <c r="GM2" s="4"/>
      <c r="GN2" s="3"/>
      <c r="GO2" s="4"/>
      <c r="GP2" s="3"/>
      <c r="GQ2" s="4"/>
      <c r="GR2" s="3"/>
      <c r="GS2" s="4"/>
      <c r="GT2" s="3"/>
      <c r="GU2" s="4"/>
      <c r="GV2" s="3"/>
      <c r="GW2" s="4"/>
      <c r="GX2" s="3"/>
      <c r="GY2" s="4"/>
      <c r="GZ2" s="3"/>
      <c r="HA2" s="4"/>
    </row>
    <row r="3" spans="1:209" ht="17.25" thickBot="1" x14ac:dyDescent="0.35">
      <c r="D3" s="5" t="s">
        <v>99</v>
      </c>
      <c r="E3" s="6" t="s">
        <v>100</v>
      </c>
      <c r="F3" s="5" t="s">
        <v>99</v>
      </c>
      <c r="G3" s="6" t="s">
        <v>100</v>
      </c>
      <c r="H3" s="5" t="s">
        <v>99</v>
      </c>
      <c r="I3" s="6" t="s">
        <v>100</v>
      </c>
      <c r="J3" s="5" t="s">
        <v>99</v>
      </c>
      <c r="K3" s="6" t="s">
        <v>100</v>
      </c>
      <c r="L3" s="5" t="s">
        <v>99</v>
      </c>
      <c r="M3" s="6" t="s">
        <v>100</v>
      </c>
      <c r="N3" s="5" t="s">
        <v>99</v>
      </c>
      <c r="O3" s="6" t="s">
        <v>100</v>
      </c>
      <c r="P3" s="5" t="s">
        <v>99</v>
      </c>
      <c r="Q3" s="6" t="s">
        <v>100</v>
      </c>
      <c r="R3" s="5" t="s">
        <v>99</v>
      </c>
      <c r="S3" s="6" t="s">
        <v>100</v>
      </c>
      <c r="T3" s="5" t="s">
        <v>99</v>
      </c>
      <c r="U3" s="6" t="s">
        <v>100</v>
      </c>
      <c r="V3" s="5" t="s">
        <v>99</v>
      </c>
      <c r="W3" s="6" t="s">
        <v>100</v>
      </c>
      <c r="X3" s="5" t="s">
        <v>99</v>
      </c>
      <c r="Y3" s="6" t="s">
        <v>100</v>
      </c>
      <c r="Z3" s="5" t="s">
        <v>99</v>
      </c>
      <c r="AA3" s="6" t="s">
        <v>100</v>
      </c>
      <c r="AB3" s="5" t="s">
        <v>99</v>
      </c>
      <c r="AC3" s="6" t="s">
        <v>100</v>
      </c>
      <c r="AD3" s="5" t="s">
        <v>99</v>
      </c>
      <c r="AE3" s="6" t="s">
        <v>100</v>
      </c>
      <c r="AF3" s="5" t="s">
        <v>99</v>
      </c>
      <c r="AG3" s="6" t="s">
        <v>100</v>
      </c>
      <c r="AH3" s="5" t="s">
        <v>99</v>
      </c>
      <c r="AI3" s="6" t="s">
        <v>100</v>
      </c>
      <c r="AJ3" s="5" t="s">
        <v>99</v>
      </c>
      <c r="AK3" s="6" t="s">
        <v>100</v>
      </c>
      <c r="AL3" s="5" t="s">
        <v>99</v>
      </c>
      <c r="AM3" s="6" t="s">
        <v>100</v>
      </c>
      <c r="AN3" s="5" t="s">
        <v>99</v>
      </c>
      <c r="AO3" s="6" t="s">
        <v>100</v>
      </c>
      <c r="AP3" s="5" t="s">
        <v>99</v>
      </c>
      <c r="AQ3" s="6" t="s">
        <v>100</v>
      </c>
      <c r="AR3" s="5" t="s">
        <v>99</v>
      </c>
      <c r="AS3" s="6" t="s">
        <v>100</v>
      </c>
      <c r="AT3" s="5" t="s">
        <v>99</v>
      </c>
      <c r="AU3" s="6" t="s">
        <v>100</v>
      </c>
      <c r="AV3" s="5" t="s">
        <v>99</v>
      </c>
      <c r="AW3" s="6" t="s">
        <v>100</v>
      </c>
      <c r="AX3" s="5" t="s">
        <v>99</v>
      </c>
      <c r="AY3" s="6" t="s">
        <v>100</v>
      </c>
      <c r="AZ3" s="5" t="s">
        <v>99</v>
      </c>
      <c r="BA3" s="6" t="s">
        <v>100</v>
      </c>
      <c r="BB3" s="5" t="s">
        <v>99</v>
      </c>
      <c r="BC3" s="6" t="s">
        <v>100</v>
      </c>
      <c r="BD3" s="5" t="s">
        <v>99</v>
      </c>
      <c r="BE3" s="6" t="s">
        <v>100</v>
      </c>
      <c r="BF3" s="5" t="s">
        <v>99</v>
      </c>
      <c r="BG3" s="6" t="s">
        <v>100</v>
      </c>
      <c r="BH3" s="5" t="s">
        <v>99</v>
      </c>
      <c r="BI3" s="6" t="s">
        <v>100</v>
      </c>
      <c r="BJ3" s="5" t="s">
        <v>99</v>
      </c>
      <c r="BK3" s="6" t="s">
        <v>100</v>
      </c>
      <c r="BL3" s="5" t="s">
        <v>99</v>
      </c>
      <c r="BM3" s="6" t="s">
        <v>100</v>
      </c>
      <c r="BN3" s="5" t="s">
        <v>99</v>
      </c>
      <c r="BO3" s="6" t="s">
        <v>100</v>
      </c>
      <c r="BP3" s="5" t="s">
        <v>99</v>
      </c>
      <c r="BQ3" s="6" t="s">
        <v>100</v>
      </c>
      <c r="BR3" s="5" t="s">
        <v>99</v>
      </c>
      <c r="BS3" s="6" t="s">
        <v>100</v>
      </c>
      <c r="BT3" s="5" t="s">
        <v>99</v>
      </c>
      <c r="BU3" s="6" t="s">
        <v>100</v>
      </c>
      <c r="BV3" s="5" t="s">
        <v>99</v>
      </c>
      <c r="BW3" s="6" t="s">
        <v>100</v>
      </c>
      <c r="BX3" s="5" t="s">
        <v>99</v>
      </c>
      <c r="BY3" s="6" t="s">
        <v>100</v>
      </c>
      <c r="BZ3" s="5" t="s">
        <v>99</v>
      </c>
      <c r="CA3" s="6" t="s">
        <v>100</v>
      </c>
      <c r="CB3" s="5" t="s">
        <v>99</v>
      </c>
      <c r="CC3" s="6" t="s">
        <v>100</v>
      </c>
      <c r="CD3" s="5" t="s">
        <v>99</v>
      </c>
      <c r="CE3" s="6" t="s">
        <v>100</v>
      </c>
      <c r="CF3" s="5" t="s">
        <v>99</v>
      </c>
      <c r="CG3" s="6" t="s">
        <v>100</v>
      </c>
      <c r="CH3" s="5" t="s">
        <v>99</v>
      </c>
      <c r="CI3" s="6" t="s">
        <v>100</v>
      </c>
      <c r="CJ3" s="5" t="s">
        <v>99</v>
      </c>
      <c r="CK3" s="6" t="s">
        <v>100</v>
      </c>
      <c r="CL3" s="5" t="s">
        <v>99</v>
      </c>
      <c r="CM3" s="6" t="s">
        <v>100</v>
      </c>
      <c r="CN3" s="5" t="s">
        <v>99</v>
      </c>
      <c r="CO3" s="6" t="s">
        <v>100</v>
      </c>
      <c r="CP3" s="5" t="s">
        <v>99</v>
      </c>
      <c r="CQ3" s="6" t="s">
        <v>100</v>
      </c>
      <c r="CR3" s="5" t="s">
        <v>99</v>
      </c>
      <c r="CS3" s="6" t="s">
        <v>100</v>
      </c>
      <c r="CT3" s="5" t="s">
        <v>99</v>
      </c>
      <c r="CU3" s="6" t="s">
        <v>100</v>
      </c>
      <c r="CV3" s="5" t="s">
        <v>99</v>
      </c>
      <c r="CW3" s="6" t="s">
        <v>100</v>
      </c>
      <c r="CX3" s="5" t="s">
        <v>99</v>
      </c>
      <c r="CY3" s="6" t="s">
        <v>100</v>
      </c>
      <c r="CZ3" s="5" t="s">
        <v>99</v>
      </c>
      <c r="DA3" s="6" t="s">
        <v>100</v>
      </c>
      <c r="DB3" s="5" t="s">
        <v>99</v>
      </c>
      <c r="DC3" s="6" t="s">
        <v>100</v>
      </c>
      <c r="DD3" s="5" t="s">
        <v>99</v>
      </c>
      <c r="DE3" s="6" t="s">
        <v>100</v>
      </c>
      <c r="DF3" s="5" t="s">
        <v>99</v>
      </c>
      <c r="DG3" s="6" t="s">
        <v>100</v>
      </c>
      <c r="DH3" s="5" t="s">
        <v>99</v>
      </c>
      <c r="DI3" s="6" t="s">
        <v>100</v>
      </c>
      <c r="DJ3" s="5" t="s">
        <v>99</v>
      </c>
      <c r="DK3" s="6" t="s">
        <v>100</v>
      </c>
      <c r="DL3" s="5" t="s">
        <v>99</v>
      </c>
      <c r="DM3" s="6" t="s">
        <v>100</v>
      </c>
      <c r="DN3" s="5" t="s">
        <v>99</v>
      </c>
      <c r="DO3" s="6" t="s">
        <v>100</v>
      </c>
      <c r="DP3" s="5" t="s">
        <v>99</v>
      </c>
      <c r="DQ3" s="6" t="s">
        <v>100</v>
      </c>
      <c r="DR3" s="5" t="s">
        <v>99</v>
      </c>
      <c r="DS3" s="6" t="s">
        <v>100</v>
      </c>
      <c r="DT3" s="5" t="s">
        <v>99</v>
      </c>
      <c r="DU3" s="6" t="s">
        <v>100</v>
      </c>
      <c r="DV3" s="5" t="s">
        <v>99</v>
      </c>
      <c r="DW3" s="6" t="s">
        <v>100</v>
      </c>
      <c r="DX3" s="5" t="s">
        <v>99</v>
      </c>
      <c r="DY3" s="6" t="s">
        <v>100</v>
      </c>
      <c r="DZ3" s="5" t="s">
        <v>99</v>
      </c>
      <c r="EA3" s="6" t="s">
        <v>100</v>
      </c>
      <c r="EB3" s="5" t="s">
        <v>99</v>
      </c>
      <c r="EC3" s="6" t="s">
        <v>100</v>
      </c>
      <c r="ED3" s="5" t="s">
        <v>99</v>
      </c>
      <c r="EE3" s="6" t="s">
        <v>100</v>
      </c>
      <c r="EF3" s="5" t="s">
        <v>99</v>
      </c>
      <c r="EG3" s="6" t="s">
        <v>100</v>
      </c>
      <c r="EH3" s="5" t="s">
        <v>99</v>
      </c>
      <c r="EI3" s="6" t="s">
        <v>100</v>
      </c>
      <c r="EJ3" s="5" t="s">
        <v>99</v>
      </c>
      <c r="EK3" s="6" t="s">
        <v>100</v>
      </c>
      <c r="EL3" s="5" t="s">
        <v>99</v>
      </c>
      <c r="EM3" s="6" t="s">
        <v>100</v>
      </c>
      <c r="EN3" s="5" t="s">
        <v>99</v>
      </c>
      <c r="EO3" s="6" t="s">
        <v>100</v>
      </c>
      <c r="EP3" s="5" t="s">
        <v>99</v>
      </c>
      <c r="EQ3" s="6" t="s">
        <v>100</v>
      </c>
      <c r="ER3" s="5" t="s">
        <v>99</v>
      </c>
      <c r="ES3" s="6" t="s">
        <v>100</v>
      </c>
      <c r="ET3" s="5" t="s">
        <v>99</v>
      </c>
      <c r="EU3" s="6" t="s">
        <v>100</v>
      </c>
      <c r="EV3" s="5" t="s">
        <v>99</v>
      </c>
      <c r="EW3" s="6" t="s">
        <v>100</v>
      </c>
      <c r="EX3" s="5" t="s">
        <v>99</v>
      </c>
      <c r="EY3" s="6" t="s">
        <v>100</v>
      </c>
      <c r="EZ3" s="5" t="s">
        <v>99</v>
      </c>
      <c r="FA3" s="6" t="s">
        <v>100</v>
      </c>
      <c r="FB3" s="5" t="s">
        <v>99</v>
      </c>
      <c r="FC3" s="6" t="s">
        <v>100</v>
      </c>
      <c r="FD3" s="5" t="s">
        <v>99</v>
      </c>
      <c r="FE3" s="6" t="s">
        <v>100</v>
      </c>
      <c r="FF3" s="5" t="s">
        <v>99</v>
      </c>
      <c r="FG3" s="6" t="s">
        <v>100</v>
      </c>
      <c r="FH3" s="5" t="s">
        <v>99</v>
      </c>
      <c r="FI3" s="6" t="s">
        <v>100</v>
      </c>
      <c r="FJ3" s="5" t="s">
        <v>99</v>
      </c>
      <c r="FK3" s="6" t="s">
        <v>100</v>
      </c>
      <c r="FL3" s="5" t="s">
        <v>99</v>
      </c>
      <c r="FM3" s="6" t="s">
        <v>100</v>
      </c>
      <c r="FN3" s="5" t="s">
        <v>99</v>
      </c>
      <c r="FO3" s="6" t="s">
        <v>100</v>
      </c>
      <c r="FP3" s="5" t="s">
        <v>99</v>
      </c>
      <c r="FQ3" s="6" t="s">
        <v>100</v>
      </c>
      <c r="FR3" s="5" t="s">
        <v>99</v>
      </c>
      <c r="FS3" s="6" t="s">
        <v>100</v>
      </c>
      <c r="FT3" s="5" t="s">
        <v>99</v>
      </c>
      <c r="FU3" s="6" t="s">
        <v>100</v>
      </c>
      <c r="FV3" s="5" t="s">
        <v>99</v>
      </c>
      <c r="FW3" s="6" t="s">
        <v>100</v>
      </c>
      <c r="FX3" s="5" t="s">
        <v>99</v>
      </c>
      <c r="FY3" s="6" t="s">
        <v>100</v>
      </c>
      <c r="FZ3" s="5" t="s">
        <v>99</v>
      </c>
      <c r="GA3" s="6" t="s">
        <v>100</v>
      </c>
      <c r="GB3" s="5" t="s">
        <v>99</v>
      </c>
      <c r="GC3" s="6" t="s">
        <v>100</v>
      </c>
      <c r="GD3" s="5" t="s">
        <v>99</v>
      </c>
      <c r="GE3" s="6" t="s">
        <v>100</v>
      </c>
      <c r="GF3" s="5" t="s">
        <v>99</v>
      </c>
      <c r="GG3" s="6" t="s">
        <v>100</v>
      </c>
      <c r="GH3" s="5" t="s">
        <v>99</v>
      </c>
      <c r="GI3" s="6" t="s">
        <v>100</v>
      </c>
      <c r="GJ3" s="5" t="s">
        <v>99</v>
      </c>
      <c r="GK3" s="6" t="s">
        <v>100</v>
      </c>
      <c r="GL3" s="5" t="s">
        <v>99</v>
      </c>
      <c r="GM3" s="6" t="s">
        <v>100</v>
      </c>
      <c r="GN3" s="5" t="s">
        <v>99</v>
      </c>
      <c r="GO3" s="6" t="s">
        <v>100</v>
      </c>
      <c r="GP3" s="5" t="s">
        <v>99</v>
      </c>
      <c r="GQ3" s="6" t="s">
        <v>100</v>
      </c>
      <c r="GR3" s="5" t="s">
        <v>99</v>
      </c>
      <c r="GS3" s="6" t="s">
        <v>100</v>
      </c>
      <c r="GT3" s="5" t="s">
        <v>99</v>
      </c>
      <c r="GU3" s="6" t="s">
        <v>100</v>
      </c>
      <c r="GV3" s="5" t="s">
        <v>99</v>
      </c>
      <c r="GW3" s="6" t="s">
        <v>100</v>
      </c>
      <c r="GX3" s="5" t="s">
        <v>99</v>
      </c>
      <c r="GY3" s="6" t="s">
        <v>100</v>
      </c>
      <c r="GZ3" s="5" t="s">
        <v>99</v>
      </c>
      <c r="HA3" s="6" t="s">
        <v>100</v>
      </c>
    </row>
    <row r="4" spans="1:209" x14ac:dyDescent="0.3">
      <c r="A4" s="160" t="s">
        <v>101</v>
      </c>
      <c r="B4" s="161"/>
      <c r="C4" s="162"/>
      <c r="D4" s="7">
        <v>44567</v>
      </c>
      <c r="E4" s="8"/>
      <c r="F4" s="7">
        <v>44566</v>
      </c>
      <c r="G4" s="8"/>
      <c r="H4" s="9">
        <v>44578</v>
      </c>
      <c r="I4" s="10"/>
      <c r="J4" s="9">
        <v>44580</v>
      </c>
      <c r="K4" s="10"/>
      <c r="L4" s="9">
        <v>44574</v>
      </c>
      <c r="M4" s="10"/>
      <c r="N4" s="7">
        <v>44601</v>
      </c>
      <c r="O4" s="8"/>
      <c r="P4" s="7">
        <v>44614</v>
      </c>
      <c r="Q4" s="8"/>
      <c r="R4" s="7">
        <v>44645</v>
      </c>
      <c r="S4" s="8"/>
      <c r="T4" s="7">
        <v>44957</v>
      </c>
      <c r="U4" s="8"/>
      <c r="V4" s="7">
        <v>44967</v>
      </c>
      <c r="W4" s="8"/>
      <c r="X4" s="7">
        <v>44978</v>
      </c>
      <c r="Y4" s="8"/>
      <c r="Z4" s="7">
        <v>45006</v>
      </c>
      <c r="AA4" s="8"/>
      <c r="AB4" s="7">
        <v>45013</v>
      </c>
      <c r="AC4" s="8"/>
      <c r="AD4" s="7">
        <v>45021</v>
      </c>
      <c r="AE4" s="8"/>
      <c r="AF4" s="7">
        <v>45035</v>
      </c>
      <c r="AG4" s="8"/>
      <c r="AH4" s="7">
        <v>45028</v>
      </c>
      <c r="AI4" s="8"/>
      <c r="AJ4" s="7">
        <v>45029</v>
      </c>
      <c r="AK4" s="8"/>
      <c r="AL4" s="7">
        <v>45035</v>
      </c>
      <c r="AM4" s="8"/>
      <c r="AN4" s="7">
        <v>45044</v>
      </c>
      <c r="AO4" s="8"/>
      <c r="AP4" s="7">
        <v>45071</v>
      </c>
      <c r="AQ4" s="8"/>
      <c r="AR4" s="7">
        <v>45076</v>
      </c>
      <c r="AS4" s="8"/>
      <c r="AT4" s="7">
        <v>45089</v>
      </c>
      <c r="AU4" s="8"/>
      <c r="AV4" s="7">
        <v>45089</v>
      </c>
      <c r="AW4" s="8"/>
      <c r="AX4" s="7">
        <v>45140</v>
      </c>
      <c r="AY4" s="8"/>
      <c r="AZ4" s="7">
        <v>45139</v>
      </c>
      <c r="BA4" s="8"/>
      <c r="BB4" s="7">
        <v>45155</v>
      </c>
      <c r="BC4" s="8"/>
      <c r="BD4" s="7">
        <v>45156</v>
      </c>
      <c r="BE4" s="8"/>
      <c r="BF4" s="7">
        <v>45176</v>
      </c>
      <c r="BG4" s="8"/>
      <c r="BH4" s="7">
        <v>45176</v>
      </c>
      <c r="BI4" s="8"/>
      <c r="BJ4" s="7">
        <v>45194</v>
      </c>
      <c r="BK4" s="8"/>
      <c r="BL4" s="7">
        <v>45209</v>
      </c>
      <c r="BM4" s="8"/>
      <c r="BN4" s="7">
        <v>45212</v>
      </c>
      <c r="BO4" s="8"/>
      <c r="BP4" s="7">
        <v>45240</v>
      </c>
      <c r="BQ4" s="8"/>
      <c r="BR4" s="7">
        <v>45282</v>
      </c>
      <c r="BS4" s="8"/>
      <c r="BT4" s="7">
        <v>45296</v>
      </c>
      <c r="BU4" s="8"/>
      <c r="BV4" s="7">
        <v>45299</v>
      </c>
      <c r="BW4" s="8"/>
      <c r="BX4" s="7">
        <v>45306</v>
      </c>
      <c r="BY4" s="8"/>
      <c r="BZ4" s="7">
        <v>45310</v>
      </c>
      <c r="CA4" s="8"/>
      <c r="CB4" s="7">
        <v>45320</v>
      </c>
      <c r="CC4" s="8"/>
      <c r="CD4" s="7">
        <v>45324</v>
      </c>
      <c r="CE4" s="8"/>
      <c r="CF4" s="7">
        <v>45335</v>
      </c>
      <c r="CG4" s="8"/>
      <c r="CH4" s="7">
        <v>45336</v>
      </c>
      <c r="CI4" s="8"/>
      <c r="CJ4" s="7">
        <v>45351</v>
      </c>
      <c r="CK4" s="8"/>
      <c r="CL4" s="7">
        <v>45349</v>
      </c>
      <c r="CM4" s="8"/>
      <c r="CN4" s="7">
        <v>45359</v>
      </c>
      <c r="CO4" s="8"/>
      <c r="CP4" s="7">
        <v>45355</v>
      </c>
      <c r="CQ4" s="8"/>
      <c r="CR4" s="7">
        <v>45370</v>
      </c>
      <c r="CS4" s="8"/>
      <c r="CT4" s="7">
        <v>45376</v>
      </c>
      <c r="CU4" s="8"/>
      <c r="CV4" s="7">
        <v>45386</v>
      </c>
      <c r="CW4" s="8"/>
      <c r="CX4" s="7">
        <v>45397</v>
      </c>
      <c r="CY4" s="8"/>
      <c r="CZ4" s="7">
        <v>45420</v>
      </c>
      <c r="DA4" s="8"/>
      <c r="DB4" s="7">
        <v>45429</v>
      </c>
      <c r="DC4" s="8"/>
      <c r="DD4" s="7">
        <v>45474</v>
      </c>
      <c r="DE4" s="8"/>
      <c r="DF4" s="7">
        <v>45476</v>
      </c>
      <c r="DG4" s="8"/>
      <c r="DH4" s="7">
        <v>45506</v>
      </c>
      <c r="DI4" s="8"/>
      <c r="DJ4" s="7">
        <v>45504</v>
      </c>
      <c r="DK4" s="8"/>
      <c r="DL4" s="7">
        <v>45511</v>
      </c>
      <c r="DM4" s="8"/>
      <c r="DN4" s="7">
        <v>45541</v>
      </c>
      <c r="DO4" s="8"/>
      <c r="DP4" s="7">
        <v>45547</v>
      </c>
      <c r="DQ4" s="8"/>
      <c r="DR4" s="7">
        <v>45594</v>
      </c>
      <c r="DS4" s="8"/>
      <c r="DT4" s="7">
        <v>45609</v>
      </c>
      <c r="DU4" s="8"/>
      <c r="DV4" s="7">
        <v>45602</v>
      </c>
      <c r="DW4" s="8"/>
      <c r="DX4" s="7">
        <v>45664</v>
      </c>
      <c r="DY4" s="8"/>
      <c r="DZ4" s="7">
        <v>45663</v>
      </c>
      <c r="EA4" s="8"/>
      <c r="EB4" s="7">
        <v>45665</v>
      </c>
      <c r="EC4" s="8"/>
      <c r="ED4" s="7">
        <v>45665</v>
      </c>
      <c r="EE4" s="8"/>
      <c r="EF4" s="7">
        <v>45677</v>
      </c>
      <c r="EG4" s="8"/>
      <c r="EH4" s="7">
        <v>45312</v>
      </c>
      <c r="EI4" s="8"/>
      <c r="EJ4" s="7">
        <v>45695</v>
      </c>
      <c r="EK4" s="8"/>
      <c r="EL4" s="7">
        <v>45699</v>
      </c>
      <c r="EM4" s="8"/>
      <c r="EN4" s="7">
        <v>45710</v>
      </c>
      <c r="EO4" s="8"/>
      <c r="EP4" s="7">
        <v>45715</v>
      </c>
      <c r="EQ4" s="8"/>
      <c r="ER4" s="7">
        <v>45723</v>
      </c>
      <c r="ES4" s="8"/>
      <c r="ET4" s="7">
        <v>45723</v>
      </c>
      <c r="EU4" s="8"/>
      <c r="EV4" s="7">
        <v>45733</v>
      </c>
      <c r="EW4" s="8"/>
      <c r="EX4" s="7">
        <v>45735</v>
      </c>
      <c r="EY4" s="8"/>
      <c r="EZ4" s="7">
        <v>45737</v>
      </c>
      <c r="FA4" s="8"/>
      <c r="FB4" s="7">
        <v>45740</v>
      </c>
      <c r="FC4" s="8"/>
      <c r="FD4" s="7">
        <v>45750</v>
      </c>
      <c r="FE4" s="8"/>
      <c r="FF4" s="7">
        <v>45750</v>
      </c>
      <c r="FG4" s="8"/>
      <c r="FH4" s="7">
        <v>45757</v>
      </c>
      <c r="FI4" s="8"/>
      <c r="FJ4" s="7">
        <v>45757</v>
      </c>
      <c r="FK4" s="8"/>
      <c r="FL4" s="7">
        <v>45768</v>
      </c>
      <c r="FM4" s="8"/>
      <c r="FN4" s="7">
        <v>45771</v>
      </c>
      <c r="FO4" s="8"/>
      <c r="FP4" s="7">
        <v>45769</v>
      </c>
      <c r="FQ4" s="8"/>
      <c r="FR4" s="7">
        <v>45800</v>
      </c>
      <c r="FS4" s="8"/>
      <c r="FT4" s="7">
        <v>45800</v>
      </c>
      <c r="FU4" s="8"/>
      <c r="FV4" s="7">
        <v>45819</v>
      </c>
      <c r="FW4" s="8"/>
      <c r="FX4" s="7">
        <v>45800</v>
      </c>
      <c r="FY4" s="8"/>
      <c r="FZ4" s="7">
        <v>45817</v>
      </c>
      <c r="GA4" s="8"/>
      <c r="GB4" s="7">
        <v>45817</v>
      </c>
      <c r="GC4" s="8"/>
      <c r="GD4" s="7">
        <v>45831</v>
      </c>
      <c r="GE4" s="8"/>
      <c r="GF4" s="7">
        <v>45833</v>
      </c>
      <c r="GG4" s="8"/>
      <c r="GH4" s="7">
        <v>45834</v>
      </c>
      <c r="GI4" s="8"/>
      <c r="GJ4" s="7">
        <v>45845</v>
      </c>
      <c r="GK4" s="8"/>
      <c r="GL4" s="7">
        <v>45845</v>
      </c>
      <c r="GM4" s="8"/>
      <c r="GN4" s="7">
        <v>45860</v>
      </c>
      <c r="GO4" s="8"/>
      <c r="GP4" s="7">
        <v>45874</v>
      </c>
      <c r="GQ4" s="8"/>
      <c r="GR4" s="7">
        <v>45874</v>
      </c>
      <c r="GS4" s="8"/>
      <c r="GT4" s="7">
        <v>45873</v>
      </c>
      <c r="GU4" s="8"/>
      <c r="GV4" s="7">
        <v>45887</v>
      </c>
      <c r="GW4" s="8"/>
      <c r="GX4" s="7">
        <v>45891</v>
      </c>
      <c r="GY4" s="8"/>
      <c r="GZ4" s="7">
        <v>45891</v>
      </c>
      <c r="HA4" s="8"/>
    </row>
    <row r="5" spans="1:209" ht="16.5" customHeight="1" x14ac:dyDescent="0.3">
      <c r="A5" s="157" t="s">
        <v>102</v>
      </c>
      <c r="B5" s="158"/>
      <c r="C5" s="11" t="s">
        <v>103</v>
      </c>
      <c r="D5" s="12" t="s">
        <v>104</v>
      </c>
      <c r="E5" s="13"/>
      <c r="F5" s="14" t="s">
        <v>104</v>
      </c>
      <c r="G5" s="15"/>
      <c r="H5" s="14" t="s">
        <v>104</v>
      </c>
      <c r="I5" s="15"/>
      <c r="J5" s="12" t="s">
        <v>104</v>
      </c>
      <c r="K5" s="13"/>
      <c r="L5" s="12" t="s">
        <v>105</v>
      </c>
      <c r="M5" s="13"/>
      <c r="N5" s="12" t="s">
        <v>104</v>
      </c>
      <c r="O5" s="13"/>
      <c r="P5" s="12" t="s">
        <v>105</v>
      </c>
      <c r="Q5" s="13"/>
      <c r="R5" s="12" t="s">
        <v>104</v>
      </c>
      <c r="S5" s="13"/>
      <c r="T5" s="12" t="s">
        <v>105</v>
      </c>
      <c r="U5" s="13"/>
      <c r="V5" s="12" t="s">
        <v>104</v>
      </c>
      <c r="W5" s="13"/>
      <c r="X5" s="12" t="s">
        <v>104</v>
      </c>
      <c r="Y5" s="13"/>
      <c r="Z5" s="12" t="s">
        <v>104</v>
      </c>
      <c r="AA5" s="13"/>
      <c r="AB5" s="12" t="s">
        <v>104</v>
      </c>
      <c r="AC5" s="13"/>
      <c r="AD5" s="12" t="s">
        <v>104</v>
      </c>
      <c r="AE5" s="13"/>
      <c r="AF5" s="12" t="s">
        <v>104</v>
      </c>
      <c r="AG5" s="13"/>
      <c r="AH5" s="12" t="s">
        <v>104</v>
      </c>
      <c r="AI5" s="13"/>
      <c r="AJ5" s="12" t="s">
        <v>104</v>
      </c>
      <c r="AK5" s="13"/>
      <c r="AL5" s="12" t="s">
        <v>104</v>
      </c>
      <c r="AM5" s="13"/>
      <c r="AN5" s="12" t="s">
        <v>104</v>
      </c>
      <c r="AO5" s="13"/>
      <c r="AP5" s="12" t="s">
        <v>104</v>
      </c>
      <c r="AQ5" s="13"/>
      <c r="AR5" s="12" t="s">
        <v>104</v>
      </c>
      <c r="AS5" s="13"/>
      <c r="AT5" s="12" t="s">
        <v>104</v>
      </c>
      <c r="AU5" s="13"/>
      <c r="AV5" s="12" t="s">
        <v>104</v>
      </c>
      <c r="AW5" s="13"/>
      <c r="AX5" s="12" t="s">
        <v>104</v>
      </c>
      <c r="AY5" s="13"/>
      <c r="AZ5" s="12" t="s">
        <v>105</v>
      </c>
      <c r="BA5" s="13"/>
      <c r="BB5" s="12" t="s">
        <v>104</v>
      </c>
      <c r="BC5" s="13"/>
      <c r="BD5" s="12" t="s">
        <v>104</v>
      </c>
      <c r="BE5" s="13"/>
      <c r="BF5" s="12" t="s">
        <v>104</v>
      </c>
      <c r="BG5" s="13"/>
      <c r="BH5" s="12" t="s">
        <v>104</v>
      </c>
      <c r="BI5" s="13"/>
      <c r="BJ5" s="12" t="s">
        <v>104</v>
      </c>
      <c r="BK5" s="13"/>
      <c r="BL5" s="12" t="s">
        <v>105</v>
      </c>
      <c r="BM5" s="13"/>
      <c r="BN5" s="12" t="s">
        <v>104</v>
      </c>
      <c r="BO5" s="13"/>
      <c r="BP5" s="12" t="s">
        <v>105</v>
      </c>
      <c r="BQ5" s="13"/>
      <c r="BR5" s="12" t="s">
        <v>104</v>
      </c>
      <c r="BS5" s="13"/>
      <c r="BT5" s="12" t="s">
        <v>104</v>
      </c>
      <c r="BU5" s="13"/>
      <c r="BV5" s="12" t="s">
        <v>104</v>
      </c>
      <c r="BW5" s="13"/>
      <c r="BX5" s="12" t="s">
        <v>104</v>
      </c>
      <c r="BY5" s="13"/>
      <c r="BZ5" s="12" t="s">
        <v>104</v>
      </c>
      <c r="CA5" s="13"/>
      <c r="CB5" s="12" t="s">
        <v>104</v>
      </c>
      <c r="CC5" s="13"/>
      <c r="CD5" s="12" t="s">
        <v>104</v>
      </c>
      <c r="CE5" s="13"/>
      <c r="CF5" s="12" t="s">
        <v>104</v>
      </c>
      <c r="CG5" s="13"/>
      <c r="CH5" s="12" t="s">
        <v>104</v>
      </c>
      <c r="CI5" s="13"/>
      <c r="CJ5" s="12" t="s">
        <v>104</v>
      </c>
      <c r="CK5" s="13"/>
      <c r="CL5" s="12" t="s">
        <v>105</v>
      </c>
      <c r="CM5" s="13"/>
      <c r="CN5" s="12" t="s">
        <v>104</v>
      </c>
      <c r="CO5" s="13"/>
      <c r="CP5" s="12" t="s">
        <v>104</v>
      </c>
      <c r="CQ5" s="13"/>
      <c r="CR5" s="12" t="s">
        <v>106</v>
      </c>
      <c r="CS5" s="13"/>
      <c r="CT5" s="12" t="s">
        <v>104</v>
      </c>
      <c r="CU5" s="13"/>
      <c r="CV5" s="12" t="s">
        <v>104</v>
      </c>
      <c r="CW5" s="13"/>
      <c r="CX5" s="12" t="s">
        <v>104</v>
      </c>
      <c r="CY5" s="13"/>
      <c r="CZ5" s="12" t="s">
        <v>104</v>
      </c>
      <c r="DA5" s="13"/>
      <c r="DB5" s="12" t="s">
        <v>104</v>
      </c>
      <c r="DC5" s="13"/>
      <c r="DD5" s="12" t="s">
        <v>104</v>
      </c>
      <c r="DE5" s="13">
        <v>0</v>
      </c>
      <c r="DF5" s="12" t="s">
        <v>104</v>
      </c>
      <c r="DG5" s="13"/>
      <c r="DH5" s="12" t="s">
        <v>105</v>
      </c>
      <c r="DI5" s="13"/>
      <c r="DJ5" s="12" t="s">
        <v>104</v>
      </c>
      <c r="DK5" s="13"/>
      <c r="DL5" s="12" t="s">
        <v>104</v>
      </c>
      <c r="DM5" s="13"/>
      <c r="DN5" s="12" t="s">
        <v>104</v>
      </c>
      <c r="DO5" s="13"/>
      <c r="DP5" s="12" t="s">
        <v>105</v>
      </c>
      <c r="DQ5" s="13"/>
      <c r="DR5" s="12" t="s">
        <v>105</v>
      </c>
      <c r="DS5" s="13"/>
      <c r="DT5" s="12" t="s">
        <v>104</v>
      </c>
      <c r="DU5" s="13"/>
      <c r="DV5" s="12" t="s">
        <v>105</v>
      </c>
      <c r="DW5" s="13"/>
      <c r="DX5" s="12" t="s">
        <v>105</v>
      </c>
      <c r="DY5" s="13">
        <v>0</v>
      </c>
      <c r="DZ5" s="12" t="s">
        <v>104</v>
      </c>
      <c r="EA5" s="13"/>
      <c r="EB5" s="12" t="s">
        <v>104</v>
      </c>
      <c r="EC5" s="13"/>
      <c r="ED5" s="12" t="s">
        <v>104</v>
      </c>
      <c r="EE5" s="13"/>
      <c r="EF5" s="12" t="s">
        <v>104</v>
      </c>
      <c r="EG5" s="13"/>
      <c r="EH5" s="12" t="s">
        <v>105</v>
      </c>
      <c r="EI5" s="13"/>
      <c r="EJ5" s="12" t="s">
        <v>105</v>
      </c>
      <c r="EK5" s="13"/>
      <c r="EL5" s="12" t="s">
        <v>104</v>
      </c>
      <c r="EM5" s="13"/>
      <c r="EN5" s="12" t="s">
        <v>104</v>
      </c>
      <c r="EO5" s="13"/>
      <c r="EP5" s="12" t="s">
        <v>104</v>
      </c>
      <c r="EQ5" s="13"/>
      <c r="ER5" s="12" t="s">
        <v>104</v>
      </c>
      <c r="ES5" s="13"/>
      <c r="ET5" s="12" t="s">
        <v>104</v>
      </c>
      <c r="EU5" s="13"/>
      <c r="EV5" s="12" t="s">
        <v>104</v>
      </c>
      <c r="EW5" s="13"/>
      <c r="EX5" s="12" t="s">
        <v>104</v>
      </c>
      <c r="EY5" s="13"/>
      <c r="EZ5" s="12" t="s">
        <v>104</v>
      </c>
      <c r="FA5" s="13"/>
      <c r="FB5" s="12" t="s">
        <v>104</v>
      </c>
      <c r="FC5" s="13"/>
      <c r="FD5" s="12" t="s">
        <v>104</v>
      </c>
      <c r="FE5" s="13"/>
      <c r="FF5" s="12" t="s">
        <v>104</v>
      </c>
      <c r="FG5" s="13"/>
      <c r="FH5" s="12" t="s">
        <v>104</v>
      </c>
      <c r="FI5" s="13"/>
      <c r="FJ5" s="12" t="s">
        <v>104</v>
      </c>
      <c r="FK5" s="13"/>
      <c r="FL5" s="12" t="s">
        <v>104</v>
      </c>
      <c r="FM5" s="13"/>
      <c r="FN5" s="12" t="s">
        <v>104</v>
      </c>
      <c r="FO5" s="13">
        <v>0</v>
      </c>
      <c r="FP5" s="12" t="s">
        <v>104</v>
      </c>
      <c r="FQ5" s="13"/>
      <c r="FR5" s="12" t="s">
        <v>104</v>
      </c>
      <c r="FS5" s="13">
        <v>0</v>
      </c>
      <c r="FT5" s="12" t="s">
        <v>104</v>
      </c>
      <c r="FU5" s="13"/>
      <c r="FV5" s="12" t="s">
        <v>104</v>
      </c>
      <c r="FW5" s="13"/>
      <c r="FX5" s="12" t="s">
        <v>104</v>
      </c>
      <c r="FY5" s="13"/>
      <c r="FZ5" s="12" t="s">
        <v>104</v>
      </c>
      <c r="GA5" s="13"/>
      <c r="GB5" s="12" t="s">
        <v>104</v>
      </c>
      <c r="GC5" s="13"/>
      <c r="GD5" s="12" t="s">
        <v>104</v>
      </c>
      <c r="GE5" s="13"/>
      <c r="GF5" s="12" t="s">
        <v>104</v>
      </c>
      <c r="GG5" s="13"/>
      <c r="GH5" s="12" t="s">
        <v>104</v>
      </c>
      <c r="GI5" s="13"/>
      <c r="GJ5" s="12" t="s">
        <v>104</v>
      </c>
      <c r="GK5" s="13"/>
      <c r="GL5" s="12" t="s">
        <v>105</v>
      </c>
      <c r="GM5" s="13"/>
      <c r="GN5" s="12" t="s">
        <v>105</v>
      </c>
      <c r="GO5" s="13"/>
      <c r="GP5" s="12" t="s">
        <v>104</v>
      </c>
      <c r="GQ5" s="13"/>
      <c r="GR5" s="12" t="s">
        <v>105</v>
      </c>
      <c r="GS5" s="13"/>
      <c r="GT5" s="12" t="s">
        <v>104</v>
      </c>
      <c r="GU5" s="13"/>
      <c r="GV5" s="12" t="s">
        <v>105</v>
      </c>
      <c r="GW5" s="13">
        <v>0</v>
      </c>
      <c r="GX5" s="12" t="s">
        <v>104</v>
      </c>
      <c r="GY5" s="13">
        <v>0</v>
      </c>
      <c r="GZ5" s="12" t="s">
        <v>104</v>
      </c>
      <c r="HA5" s="13">
        <v>0</v>
      </c>
    </row>
    <row r="6" spans="1:209" ht="27" x14ac:dyDescent="0.3">
      <c r="A6" s="157" t="s">
        <v>102</v>
      </c>
      <c r="B6" s="159"/>
      <c r="C6" s="16" t="s">
        <v>107</v>
      </c>
      <c r="D6" s="17" t="s">
        <v>108</v>
      </c>
      <c r="E6" s="13"/>
      <c r="F6" s="18" t="s">
        <v>108</v>
      </c>
      <c r="G6" s="15"/>
      <c r="H6" s="18" t="s">
        <v>108</v>
      </c>
      <c r="I6" s="15"/>
      <c r="J6" s="17" t="s">
        <v>108</v>
      </c>
      <c r="K6" s="13"/>
      <c r="L6" s="17" t="s">
        <v>108</v>
      </c>
      <c r="M6" s="13"/>
      <c r="N6" s="17" t="s">
        <v>108</v>
      </c>
      <c r="O6" s="13"/>
      <c r="P6" s="17" t="s">
        <v>108</v>
      </c>
      <c r="Q6" s="13"/>
      <c r="R6" s="17" t="s">
        <v>108</v>
      </c>
      <c r="S6" s="13"/>
      <c r="T6" s="17" t="s">
        <v>108</v>
      </c>
      <c r="U6" s="13"/>
      <c r="V6" s="17" t="s">
        <v>108</v>
      </c>
      <c r="W6" s="13"/>
      <c r="X6" s="17" t="s">
        <v>108</v>
      </c>
      <c r="Y6" s="13"/>
      <c r="Z6" s="17" t="s">
        <v>108</v>
      </c>
      <c r="AA6" s="13"/>
      <c r="AB6" s="17" t="s">
        <v>108</v>
      </c>
      <c r="AC6" s="13"/>
      <c r="AD6" s="17" t="s">
        <v>108</v>
      </c>
      <c r="AE6" s="13"/>
      <c r="AF6" s="17" t="s">
        <v>108</v>
      </c>
      <c r="AG6" s="13"/>
      <c r="AH6" s="17" t="s">
        <v>108</v>
      </c>
      <c r="AI6" s="13"/>
      <c r="AJ6" s="17" t="s">
        <v>108</v>
      </c>
      <c r="AK6" s="13"/>
      <c r="AL6" s="17" t="s">
        <v>108</v>
      </c>
      <c r="AM6" s="13"/>
      <c r="AN6" s="17" t="s">
        <v>108</v>
      </c>
      <c r="AO6" s="13"/>
      <c r="AP6" s="17" t="s">
        <v>108</v>
      </c>
      <c r="AQ6" s="13"/>
      <c r="AR6" s="17" t="s">
        <v>108</v>
      </c>
      <c r="AS6" s="13"/>
      <c r="AT6" s="17" t="s">
        <v>108</v>
      </c>
      <c r="AU6" s="13"/>
      <c r="AV6" s="17" t="s">
        <v>108</v>
      </c>
      <c r="AW6" s="13"/>
      <c r="AX6" s="17" t="s">
        <v>109</v>
      </c>
      <c r="AY6" s="13"/>
      <c r="AZ6" s="17" t="s">
        <v>108</v>
      </c>
      <c r="BA6" s="13"/>
      <c r="BB6" s="17" t="s">
        <v>108</v>
      </c>
      <c r="BC6" s="13"/>
      <c r="BD6" s="17" t="s">
        <v>108</v>
      </c>
      <c r="BE6" s="13"/>
      <c r="BF6" s="17" t="s">
        <v>108</v>
      </c>
      <c r="BG6" s="13"/>
      <c r="BH6" s="17" t="s">
        <v>108</v>
      </c>
      <c r="BI6" s="13"/>
      <c r="BJ6" s="17" t="s">
        <v>108</v>
      </c>
      <c r="BK6" s="13"/>
      <c r="BL6" s="17" t="s">
        <v>108</v>
      </c>
      <c r="BM6" s="13"/>
      <c r="BN6" s="17" t="s">
        <v>108</v>
      </c>
      <c r="BO6" s="13"/>
      <c r="BP6" s="17" t="s">
        <v>108</v>
      </c>
      <c r="BQ6" s="13"/>
      <c r="BR6" s="17" t="s">
        <v>108</v>
      </c>
      <c r="BS6" s="13"/>
      <c r="BT6" s="17" t="s">
        <v>108</v>
      </c>
      <c r="BU6" s="13"/>
      <c r="BV6" s="17" t="s">
        <v>108</v>
      </c>
      <c r="BW6" s="13"/>
      <c r="BX6" s="17" t="s">
        <v>108</v>
      </c>
      <c r="BY6" s="13"/>
      <c r="BZ6" s="17" t="s">
        <v>108</v>
      </c>
      <c r="CA6" s="13"/>
      <c r="CB6" s="17" t="s">
        <v>108</v>
      </c>
      <c r="CC6" s="13"/>
      <c r="CD6" s="17" t="s">
        <v>108</v>
      </c>
      <c r="CE6" s="13"/>
      <c r="CF6" s="17" t="s">
        <v>108</v>
      </c>
      <c r="CG6" s="13"/>
      <c r="CH6" s="17" t="s">
        <v>108</v>
      </c>
      <c r="CI6" s="13"/>
      <c r="CJ6" s="17" t="s">
        <v>108</v>
      </c>
      <c r="CK6" s="13"/>
      <c r="CL6" s="17" t="s">
        <v>108</v>
      </c>
      <c r="CM6" s="13"/>
      <c r="CN6" s="17" t="s">
        <v>108</v>
      </c>
      <c r="CO6" s="13"/>
      <c r="CP6" s="17" t="s">
        <v>108</v>
      </c>
      <c r="CQ6" s="13"/>
      <c r="CR6" s="17" t="s">
        <v>110</v>
      </c>
      <c r="CS6" s="13"/>
      <c r="CT6" s="17" t="s">
        <v>108</v>
      </c>
      <c r="CU6" s="13"/>
      <c r="CV6" s="17" t="s">
        <v>108</v>
      </c>
      <c r="CW6" s="13"/>
      <c r="CX6" s="17" t="s">
        <v>108</v>
      </c>
      <c r="CY6" s="13"/>
      <c r="CZ6" s="17" t="s">
        <v>108</v>
      </c>
      <c r="DA6" s="13"/>
      <c r="DB6" s="17" t="s">
        <v>108</v>
      </c>
      <c r="DC6" s="13"/>
      <c r="DD6" s="17" t="s">
        <v>108</v>
      </c>
      <c r="DE6" s="13">
        <v>0</v>
      </c>
      <c r="DF6" s="17" t="s">
        <v>108</v>
      </c>
      <c r="DG6" s="13"/>
      <c r="DH6" s="17" t="s">
        <v>108</v>
      </c>
      <c r="DI6" s="13"/>
      <c r="DJ6" s="17" t="s">
        <v>111</v>
      </c>
      <c r="DK6" s="13"/>
      <c r="DL6" s="17" t="s">
        <v>108</v>
      </c>
      <c r="DM6" s="13"/>
      <c r="DN6" s="17" t="s">
        <v>108</v>
      </c>
      <c r="DO6" s="13"/>
      <c r="DP6" s="17" t="s">
        <v>108</v>
      </c>
      <c r="DQ6" s="13"/>
      <c r="DR6" s="17" t="s">
        <v>108</v>
      </c>
      <c r="DS6" s="13"/>
      <c r="DT6" s="17" t="s">
        <v>108</v>
      </c>
      <c r="DU6" s="13"/>
      <c r="DV6" s="17" t="s">
        <v>108</v>
      </c>
      <c r="DW6" s="13"/>
      <c r="DX6" s="17" t="s">
        <v>108</v>
      </c>
      <c r="DY6" s="13">
        <v>0</v>
      </c>
      <c r="DZ6" s="17" t="s">
        <v>108</v>
      </c>
      <c r="EA6" s="13"/>
      <c r="EB6" s="17" t="s">
        <v>108</v>
      </c>
      <c r="EC6" s="13"/>
      <c r="ED6" s="17" t="s">
        <v>108</v>
      </c>
      <c r="EE6" s="13"/>
      <c r="EF6" s="17"/>
      <c r="EG6" s="13"/>
      <c r="EH6" s="17" t="s">
        <v>108</v>
      </c>
      <c r="EI6" s="13"/>
      <c r="EJ6" s="17" t="s">
        <v>108</v>
      </c>
      <c r="EK6" s="13"/>
      <c r="EL6" s="17" t="s">
        <v>108</v>
      </c>
      <c r="EM6" s="13"/>
      <c r="EN6" s="17" t="s">
        <v>108</v>
      </c>
      <c r="EO6" s="13"/>
      <c r="EP6" s="17" t="s">
        <v>108</v>
      </c>
      <c r="EQ6" s="13"/>
      <c r="ER6" s="17" t="s">
        <v>108</v>
      </c>
      <c r="ES6" s="13"/>
      <c r="ET6" s="17" t="s">
        <v>108</v>
      </c>
      <c r="EU6" s="13"/>
      <c r="EV6" s="17" t="s">
        <v>108</v>
      </c>
      <c r="EW6" s="13"/>
      <c r="EX6" s="17" t="s">
        <v>108</v>
      </c>
      <c r="EY6" s="13"/>
      <c r="EZ6" s="17" t="s">
        <v>108</v>
      </c>
      <c r="FA6" s="13"/>
      <c r="FB6" s="17" t="s">
        <v>108</v>
      </c>
      <c r="FC6" s="13"/>
      <c r="FD6" s="17" t="s">
        <v>108</v>
      </c>
      <c r="FE6" s="13"/>
      <c r="FF6" s="17" t="s">
        <v>108</v>
      </c>
      <c r="FG6" s="13"/>
      <c r="FH6" s="17" t="s">
        <v>108</v>
      </c>
      <c r="FI6" s="13"/>
      <c r="FJ6" s="17" t="s">
        <v>108</v>
      </c>
      <c r="FK6" s="13"/>
      <c r="FL6" s="17" t="s">
        <v>108</v>
      </c>
      <c r="FM6" s="13"/>
      <c r="FN6" s="17" t="s">
        <v>108</v>
      </c>
      <c r="FO6" s="13">
        <v>0</v>
      </c>
      <c r="FP6" s="17" t="s">
        <v>108</v>
      </c>
      <c r="FQ6" s="13"/>
      <c r="FR6" s="17" t="s">
        <v>108</v>
      </c>
      <c r="FS6" s="13">
        <v>0</v>
      </c>
      <c r="FT6" s="17" t="s">
        <v>108</v>
      </c>
      <c r="FU6" s="13"/>
      <c r="FV6" s="17" t="s">
        <v>108</v>
      </c>
      <c r="FW6" s="13"/>
      <c r="FX6" s="17" t="s">
        <v>108</v>
      </c>
      <c r="FY6" s="13"/>
      <c r="FZ6" s="17" t="s">
        <v>108</v>
      </c>
      <c r="GA6" s="13"/>
      <c r="GB6" s="17" t="s">
        <v>108</v>
      </c>
      <c r="GC6" s="13"/>
      <c r="GD6" s="17" t="s">
        <v>109</v>
      </c>
      <c r="GE6" s="13"/>
      <c r="GF6" s="17" t="s">
        <v>108</v>
      </c>
      <c r="GG6" s="13"/>
      <c r="GH6" s="17" t="s">
        <v>108</v>
      </c>
      <c r="GI6" s="13"/>
      <c r="GJ6" s="17" t="s">
        <v>108</v>
      </c>
      <c r="GK6" s="13"/>
      <c r="GL6" s="17" t="s">
        <v>108</v>
      </c>
      <c r="GM6" s="13"/>
      <c r="GN6" s="17" t="s">
        <v>109</v>
      </c>
      <c r="GO6" s="13"/>
      <c r="GP6" s="17" t="s">
        <v>108</v>
      </c>
      <c r="GQ6" s="13"/>
      <c r="GR6" s="17" t="s">
        <v>108</v>
      </c>
      <c r="GS6" s="13"/>
      <c r="GT6" s="17" t="s">
        <v>108</v>
      </c>
      <c r="GU6" s="13"/>
      <c r="GV6" s="17" t="s">
        <v>108</v>
      </c>
      <c r="GW6" s="13">
        <v>0</v>
      </c>
      <c r="GX6" s="17" t="s">
        <v>108</v>
      </c>
      <c r="GY6" s="13">
        <v>0</v>
      </c>
      <c r="GZ6" s="17" t="s">
        <v>108</v>
      </c>
      <c r="HA6" s="13">
        <v>0</v>
      </c>
    </row>
    <row r="7" spans="1:209" x14ac:dyDescent="0.3">
      <c r="A7" s="141" t="s">
        <v>112</v>
      </c>
      <c r="B7" s="142"/>
      <c r="C7" s="19" t="s">
        <v>113</v>
      </c>
      <c r="D7" s="20">
        <v>608</v>
      </c>
      <c r="E7" s="21">
        <v>26.590643368831813</v>
      </c>
      <c r="F7" s="22">
        <v>1254</v>
      </c>
      <c r="G7" s="23">
        <v>34.041631242483966</v>
      </c>
      <c r="H7" s="24">
        <v>824</v>
      </c>
      <c r="I7" s="23">
        <v>30.938039688408782</v>
      </c>
      <c r="J7" s="20">
        <v>727</v>
      </c>
      <c r="K7" s="21">
        <v>38.82187103438639</v>
      </c>
      <c r="L7" s="20">
        <v>251</v>
      </c>
      <c r="M7" s="21">
        <v>30.856970207379089</v>
      </c>
      <c r="N7" s="20">
        <v>704</v>
      </c>
      <c r="O7" s="21">
        <v>37.90254744244276</v>
      </c>
      <c r="P7" s="20">
        <v>897</v>
      </c>
      <c r="Q7" s="21">
        <v>26.087234840720807</v>
      </c>
      <c r="R7" s="20">
        <v>1843</v>
      </c>
      <c r="S7" s="21">
        <v>25.507888632705168</v>
      </c>
      <c r="T7" s="20">
        <v>1489</v>
      </c>
      <c r="U7" s="21">
        <v>31.377408414321639</v>
      </c>
      <c r="V7" s="20">
        <v>829</v>
      </c>
      <c r="W7" s="21">
        <v>37.713904377297609</v>
      </c>
      <c r="X7" s="20">
        <v>589</v>
      </c>
      <c r="Y7" s="21">
        <v>26.651634863907969</v>
      </c>
      <c r="Z7" s="20">
        <v>525</v>
      </c>
      <c r="AA7" s="21">
        <v>29.420271326874268</v>
      </c>
      <c r="AB7" s="20">
        <v>3446</v>
      </c>
      <c r="AC7" s="21">
        <v>30.115171291653738</v>
      </c>
      <c r="AD7" s="20">
        <v>443</v>
      </c>
      <c r="AE7" s="21">
        <v>36.003476549253946</v>
      </c>
      <c r="AF7" s="20">
        <v>447</v>
      </c>
      <c r="AG7" s="21">
        <v>34.731486440413924</v>
      </c>
      <c r="AH7" s="20">
        <v>1004</v>
      </c>
      <c r="AI7" s="21">
        <v>31.640031621351728</v>
      </c>
      <c r="AJ7" s="20">
        <v>204</v>
      </c>
      <c r="AK7" s="21">
        <v>31.866231987985465</v>
      </c>
      <c r="AL7" s="20">
        <v>287</v>
      </c>
      <c r="AM7" s="21">
        <v>29.934613074728968</v>
      </c>
      <c r="AN7" s="20">
        <v>345</v>
      </c>
      <c r="AO7" s="21">
        <v>25.205598241474576</v>
      </c>
      <c r="AP7" s="20">
        <v>579</v>
      </c>
      <c r="AQ7" s="21">
        <v>33.248731673885359</v>
      </c>
      <c r="AR7" s="20">
        <v>1619</v>
      </c>
      <c r="AS7" s="21">
        <v>29.361571241829971</v>
      </c>
      <c r="AT7" s="20">
        <v>906</v>
      </c>
      <c r="AU7" s="21">
        <v>27.749759370012193</v>
      </c>
      <c r="AV7" s="20">
        <v>920</v>
      </c>
      <c r="AW7" s="21">
        <v>32.428192314167191</v>
      </c>
      <c r="AX7" s="20">
        <v>2001</v>
      </c>
      <c r="AY7" s="21">
        <v>40.806232720653405</v>
      </c>
      <c r="AZ7" s="20">
        <v>963</v>
      </c>
      <c r="BA7" s="21">
        <v>30.09604190426003</v>
      </c>
      <c r="BB7" s="20">
        <v>999</v>
      </c>
      <c r="BC7" s="21">
        <v>40.39064419855756</v>
      </c>
      <c r="BD7" s="20">
        <v>1002</v>
      </c>
      <c r="BE7" s="21">
        <v>29.127922991212806</v>
      </c>
      <c r="BF7" s="20">
        <v>349</v>
      </c>
      <c r="BG7" s="21">
        <v>38.13945187246658</v>
      </c>
      <c r="BH7" s="20">
        <v>884</v>
      </c>
      <c r="BI7" s="21">
        <v>37.647465622603789</v>
      </c>
      <c r="BJ7" s="20">
        <v>850</v>
      </c>
      <c r="BK7" s="21">
        <v>40.06079073144172</v>
      </c>
      <c r="BL7" s="20">
        <v>614</v>
      </c>
      <c r="BM7" s="21">
        <v>29.793524725962836</v>
      </c>
      <c r="BN7" s="20">
        <v>427</v>
      </c>
      <c r="BO7" s="21">
        <v>34.347810809558624</v>
      </c>
      <c r="BP7" s="20">
        <v>1017</v>
      </c>
      <c r="BQ7" s="21">
        <v>29.389714796430905</v>
      </c>
      <c r="BR7" s="20">
        <v>1542</v>
      </c>
      <c r="BS7" s="21">
        <v>29.448810678147019</v>
      </c>
      <c r="BT7" s="20">
        <v>2992</v>
      </c>
      <c r="BU7" s="21">
        <v>26.933609131479493</v>
      </c>
      <c r="BV7" s="20">
        <v>2226</v>
      </c>
      <c r="BW7" s="21">
        <v>35.829642129705654</v>
      </c>
      <c r="BX7" s="20">
        <v>309</v>
      </c>
      <c r="BY7" s="21">
        <v>31.824505953153633</v>
      </c>
      <c r="BZ7" s="20">
        <v>808</v>
      </c>
      <c r="CA7" s="21">
        <v>27.903324280337767</v>
      </c>
      <c r="CB7" s="20">
        <v>886</v>
      </c>
      <c r="CC7" s="21">
        <v>35.955978595387514</v>
      </c>
      <c r="CD7" s="20">
        <v>519</v>
      </c>
      <c r="CE7" s="21">
        <v>33.392541467667442</v>
      </c>
      <c r="CF7" s="20">
        <v>994</v>
      </c>
      <c r="CG7" s="21">
        <v>35.267700583073733</v>
      </c>
      <c r="CH7" s="20">
        <v>569</v>
      </c>
      <c r="CI7" s="21">
        <v>33.771065255601783</v>
      </c>
      <c r="CJ7" s="20">
        <v>3322</v>
      </c>
      <c r="CK7" s="21">
        <v>32.952902291409885</v>
      </c>
      <c r="CL7" s="20">
        <v>2272</v>
      </c>
      <c r="CM7" s="21">
        <v>35.17904709360586</v>
      </c>
      <c r="CN7" s="20">
        <v>697</v>
      </c>
      <c r="CO7" s="21">
        <v>33.316892452750103</v>
      </c>
      <c r="CP7" s="20">
        <v>804</v>
      </c>
      <c r="CQ7" s="21">
        <v>29.063344456554425</v>
      </c>
      <c r="CR7" s="20">
        <v>238</v>
      </c>
      <c r="CS7" s="21">
        <v>14.223198620606206</v>
      </c>
      <c r="CT7" s="20">
        <v>1999</v>
      </c>
      <c r="CU7" s="21">
        <v>31.273826065431528</v>
      </c>
      <c r="CV7" s="20">
        <v>3802</v>
      </c>
      <c r="CW7" s="21">
        <v>34.084208444444428</v>
      </c>
      <c r="CX7" s="20">
        <v>982</v>
      </c>
      <c r="CY7" s="21">
        <v>38.571513068595706</v>
      </c>
      <c r="CZ7" s="20">
        <v>231</v>
      </c>
      <c r="DA7" s="21">
        <v>30.98552616037037</v>
      </c>
      <c r="DB7" s="20">
        <v>612</v>
      </c>
      <c r="DC7" s="21">
        <v>30.693715778605792</v>
      </c>
      <c r="DD7" s="20">
        <v>493</v>
      </c>
      <c r="DE7" s="21">
        <v>32.146772769035721</v>
      </c>
      <c r="DF7" s="20">
        <v>701</v>
      </c>
      <c r="DG7" s="21">
        <v>33.785516296132442</v>
      </c>
      <c r="DH7" s="20">
        <v>305</v>
      </c>
      <c r="DI7" s="21">
        <v>39.024919639500965</v>
      </c>
      <c r="DJ7" s="20">
        <v>927</v>
      </c>
      <c r="DK7" s="21">
        <v>39.120564046728248</v>
      </c>
      <c r="DL7" s="20">
        <v>1763</v>
      </c>
      <c r="DM7" s="21">
        <v>38.650266516228356</v>
      </c>
      <c r="DN7" s="20">
        <v>920</v>
      </c>
      <c r="DO7" s="21">
        <v>32.63399624375603</v>
      </c>
      <c r="DP7" s="20">
        <v>1138</v>
      </c>
      <c r="DQ7" s="21">
        <v>28.128630714659145</v>
      </c>
      <c r="DR7" s="20">
        <v>3198</v>
      </c>
      <c r="DS7" s="21">
        <v>29.639739823172047</v>
      </c>
      <c r="DT7" s="20">
        <v>944</v>
      </c>
      <c r="DU7" s="21">
        <v>34.974501511724135</v>
      </c>
      <c r="DV7" s="20">
        <v>1416</v>
      </c>
      <c r="DW7" s="21">
        <v>34.140047640972057</v>
      </c>
      <c r="DX7" s="20">
        <v>480</v>
      </c>
      <c r="DY7" s="21">
        <v>35.311277401335026</v>
      </c>
      <c r="DZ7" s="20">
        <v>989</v>
      </c>
      <c r="EA7" s="21">
        <v>36.372512606301967</v>
      </c>
      <c r="EB7" s="20">
        <v>1863</v>
      </c>
      <c r="EC7" s="21">
        <v>30.993103047273539</v>
      </c>
      <c r="ED7" s="20">
        <v>526</v>
      </c>
      <c r="EE7" s="21">
        <v>35.068240989968771</v>
      </c>
      <c r="EF7" s="20">
        <v>1619</v>
      </c>
      <c r="EG7" s="21"/>
      <c r="EH7" s="20">
        <v>305</v>
      </c>
      <c r="EI7" s="21">
        <v>39.024919639500965</v>
      </c>
      <c r="EJ7" s="20">
        <v>1416</v>
      </c>
      <c r="EK7" s="21">
        <v>34.140047640972057</v>
      </c>
      <c r="EL7" s="20">
        <v>843</v>
      </c>
      <c r="EM7" s="21">
        <v>32.129059913892306</v>
      </c>
      <c r="EN7" s="20">
        <v>7007</v>
      </c>
      <c r="EO7" s="21">
        <v>30.747045756065575</v>
      </c>
      <c r="EP7" s="20">
        <v>1010</v>
      </c>
      <c r="EQ7" s="21">
        <v>33.0139721425709</v>
      </c>
      <c r="ER7" s="20">
        <v>1099</v>
      </c>
      <c r="ES7" s="21">
        <v>42.874284676046528</v>
      </c>
      <c r="ET7" s="20">
        <v>3216</v>
      </c>
      <c r="EU7" s="21">
        <v>36.463363690049967</v>
      </c>
      <c r="EV7" s="20">
        <v>1411</v>
      </c>
      <c r="EW7" s="21">
        <v>32.23355731238685</v>
      </c>
      <c r="EX7" s="20">
        <v>850</v>
      </c>
      <c r="EY7" s="21">
        <v>40.075375543162998</v>
      </c>
      <c r="EZ7" s="20">
        <v>1120</v>
      </c>
      <c r="FA7" s="21">
        <v>38.703255749634842</v>
      </c>
      <c r="FB7" s="20">
        <v>2825</v>
      </c>
      <c r="FC7" s="21">
        <v>28.247103374760478</v>
      </c>
      <c r="FD7" s="20">
        <v>1171</v>
      </c>
      <c r="FE7" s="21">
        <v>35.473713126617142</v>
      </c>
      <c r="FF7" s="20">
        <v>2568</v>
      </c>
      <c r="FG7" s="21">
        <v>28.476846544513759</v>
      </c>
      <c r="FH7" s="20">
        <v>581</v>
      </c>
      <c r="FI7" s="21">
        <v>29.17471811135886</v>
      </c>
      <c r="FJ7" s="20">
        <v>493</v>
      </c>
      <c r="FK7" s="21">
        <v>34.468891543132074</v>
      </c>
      <c r="FL7" s="20">
        <v>1332</v>
      </c>
      <c r="FM7" s="21">
        <v>31.462447382950739</v>
      </c>
      <c r="FN7" s="20">
        <v>26</v>
      </c>
      <c r="FO7" s="21">
        <v>50.316285595945594</v>
      </c>
      <c r="FP7" s="20">
        <v>2458</v>
      </c>
      <c r="FQ7" s="21">
        <v>35.344909489404451</v>
      </c>
      <c r="FR7" s="20">
        <v>10</v>
      </c>
      <c r="FS7" s="21">
        <v>105.81100000000001</v>
      </c>
      <c r="FT7" s="20">
        <v>989</v>
      </c>
      <c r="FU7" s="21">
        <v>36.372512606301967</v>
      </c>
      <c r="FV7" s="20">
        <v>2165</v>
      </c>
      <c r="FW7" s="21">
        <v>35.99002420967166</v>
      </c>
      <c r="FX7" s="20">
        <v>2054</v>
      </c>
      <c r="FY7" s="21">
        <v>26.791993025977828</v>
      </c>
      <c r="FZ7" s="20">
        <v>1099</v>
      </c>
      <c r="GA7" s="21">
        <v>42.882261088969777</v>
      </c>
      <c r="GB7" s="20">
        <v>3216</v>
      </c>
      <c r="GC7" s="21">
        <v>36.489236259413197</v>
      </c>
      <c r="GD7" s="20">
        <v>2485</v>
      </c>
      <c r="GE7" s="21">
        <v>34.781013505559947</v>
      </c>
      <c r="GF7" s="20">
        <v>1998</v>
      </c>
      <c r="GG7" s="21">
        <v>35.403470201401113</v>
      </c>
      <c r="GH7" s="20">
        <v>1600</v>
      </c>
      <c r="GI7" s="21">
        <v>34.825776532911853</v>
      </c>
      <c r="GJ7" s="20">
        <v>767</v>
      </c>
      <c r="GK7" s="21">
        <v>33.43654822335025</v>
      </c>
      <c r="GL7" s="20">
        <v>2857</v>
      </c>
      <c r="GM7" s="21">
        <v>29.420351621368347</v>
      </c>
      <c r="GN7" s="20">
        <v>1349</v>
      </c>
      <c r="GO7" s="21">
        <v>34.062501196876568</v>
      </c>
      <c r="GP7" s="20">
        <v>951</v>
      </c>
      <c r="GQ7" s="21">
        <v>35.161586120917136</v>
      </c>
      <c r="GR7" s="20">
        <v>2035</v>
      </c>
      <c r="GS7" s="21">
        <v>38.090497781949168</v>
      </c>
      <c r="GT7" s="20">
        <v>646</v>
      </c>
      <c r="GU7" s="21">
        <v>34.559593823933056</v>
      </c>
      <c r="GV7" s="20">
        <v>1136</v>
      </c>
      <c r="GW7" s="21">
        <v>27.989112605331304</v>
      </c>
      <c r="GX7" s="20">
        <v>703</v>
      </c>
      <c r="GY7" s="21">
        <v>30.31699017382871</v>
      </c>
      <c r="GZ7" s="20">
        <v>804</v>
      </c>
      <c r="HA7" s="21">
        <v>29.063344456554425</v>
      </c>
    </row>
    <row r="8" spans="1:209" x14ac:dyDescent="0.3">
      <c r="A8" s="141" t="s">
        <v>112</v>
      </c>
      <c r="B8" s="143"/>
      <c r="C8" s="25" t="s">
        <v>114</v>
      </c>
      <c r="D8" s="20"/>
      <c r="E8" s="21"/>
      <c r="F8" s="22"/>
      <c r="G8" s="15"/>
      <c r="H8" s="14">
        <v>0</v>
      </c>
      <c r="I8" s="15"/>
      <c r="J8" s="20">
        <v>0</v>
      </c>
      <c r="K8" s="21"/>
      <c r="L8" s="20">
        <v>0</v>
      </c>
      <c r="M8" s="21"/>
      <c r="N8" s="20"/>
      <c r="O8" s="21"/>
      <c r="P8" s="20">
        <v>0</v>
      </c>
      <c r="Q8" s="21"/>
      <c r="R8" s="20"/>
      <c r="S8" s="21"/>
      <c r="T8" s="20"/>
      <c r="U8" s="21"/>
      <c r="V8" s="20"/>
      <c r="W8" s="21"/>
      <c r="X8" s="20"/>
      <c r="Y8" s="21"/>
      <c r="Z8" s="20"/>
      <c r="AA8" s="21"/>
      <c r="AB8" s="20"/>
      <c r="AC8" s="21"/>
      <c r="AD8" s="20"/>
      <c r="AE8" s="21"/>
      <c r="AF8" s="20"/>
      <c r="AG8" s="21"/>
      <c r="AH8" s="20"/>
      <c r="AI8" s="21"/>
      <c r="AJ8" s="20"/>
      <c r="AK8" s="21"/>
      <c r="AL8" s="20" t="s">
        <v>115</v>
      </c>
      <c r="AM8" s="21"/>
      <c r="AN8" s="20"/>
      <c r="AO8" s="21"/>
      <c r="AP8" s="20"/>
      <c r="AQ8" s="21"/>
      <c r="AR8" s="20"/>
      <c r="AS8" s="21"/>
      <c r="AT8" s="20"/>
      <c r="AU8" s="21"/>
      <c r="AV8" s="20"/>
      <c r="AW8" s="21"/>
      <c r="AX8" s="20"/>
      <c r="AY8" s="21"/>
      <c r="AZ8" s="20"/>
      <c r="BA8" s="21"/>
      <c r="BB8" s="20"/>
      <c r="BC8" s="21"/>
      <c r="BD8" s="20"/>
      <c r="BE8" s="21"/>
      <c r="BF8" s="20"/>
      <c r="BG8" s="21"/>
      <c r="BH8" s="20"/>
      <c r="BI8" s="21"/>
      <c r="BJ8" s="20"/>
      <c r="BK8" s="21"/>
      <c r="BL8" s="20"/>
      <c r="BM8" s="21"/>
      <c r="BN8" s="20"/>
      <c r="BO8" s="21"/>
      <c r="BP8" s="20"/>
      <c r="BQ8" s="21"/>
      <c r="BR8" s="20" t="s">
        <v>116</v>
      </c>
      <c r="BS8" s="21"/>
      <c r="BT8" s="20"/>
      <c r="BU8" s="21"/>
      <c r="BV8" s="20">
        <v>688</v>
      </c>
      <c r="BW8" s="21" t="s">
        <v>117</v>
      </c>
      <c r="BX8" s="20"/>
      <c r="BY8" s="21"/>
      <c r="BZ8" s="20"/>
      <c r="CA8" s="21"/>
      <c r="CB8" s="20" t="s">
        <v>118</v>
      </c>
      <c r="CC8" s="21"/>
      <c r="CD8" s="20"/>
      <c r="CE8" s="21"/>
      <c r="CF8" s="20" t="s">
        <v>119</v>
      </c>
      <c r="CG8" s="21"/>
      <c r="CH8" s="20"/>
      <c r="CI8" s="21"/>
      <c r="CJ8" s="20">
        <v>1130</v>
      </c>
      <c r="CK8" s="21">
        <v>0.34015653220951236</v>
      </c>
      <c r="CL8" s="20"/>
      <c r="CM8" s="21"/>
      <c r="CN8" s="20"/>
      <c r="CO8" s="21"/>
      <c r="CP8" s="20"/>
      <c r="CQ8" s="21"/>
      <c r="CR8" s="20">
        <v>238</v>
      </c>
      <c r="CS8" s="21">
        <v>13.888998632909512</v>
      </c>
      <c r="CT8" s="20"/>
      <c r="CU8" s="21"/>
      <c r="CV8" s="20"/>
      <c r="CW8" s="21"/>
      <c r="CX8" s="20">
        <v>81</v>
      </c>
      <c r="CY8" s="21"/>
      <c r="CZ8" s="20"/>
      <c r="DA8" s="21"/>
      <c r="DB8" s="20"/>
      <c r="DC8" s="21"/>
      <c r="DD8" s="20">
        <v>0</v>
      </c>
      <c r="DE8" s="21">
        <v>0</v>
      </c>
      <c r="DF8" s="20"/>
      <c r="DG8" s="21"/>
      <c r="DH8" s="20"/>
      <c r="DI8" s="21"/>
      <c r="DJ8" s="20" t="s">
        <v>120</v>
      </c>
      <c r="DK8" s="21"/>
      <c r="DL8" s="20"/>
      <c r="DM8" s="21"/>
      <c r="DN8" s="20"/>
      <c r="DO8" s="21"/>
      <c r="DP8" s="20"/>
      <c r="DQ8" s="21"/>
      <c r="DR8" s="20"/>
      <c r="DS8" s="21"/>
      <c r="DT8" s="20"/>
      <c r="DU8" s="21"/>
      <c r="DV8" s="20" t="s">
        <v>121</v>
      </c>
      <c r="DW8" s="21"/>
      <c r="DX8" s="20">
        <v>0</v>
      </c>
      <c r="DY8" s="21">
        <v>0</v>
      </c>
      <c r="DZ8" s="20"/>
      <c r="EA8" s="21"/>
      <c r="EB8" s="20" t="s">
        <v>122</v>
      </c>
      <c r="EC8" s="21"/>
      <c r="ED8" s="20" t="s">
        <v>123</v>
      </c>
      <c r="EE8" s="21"/>
      <c r="EF8" s="20"/>
      <c r="EG8" s="21"/>
      <c r="EH8" s="20"/>
      <c r="EI8" s="21"/>
      <c r="EJ8" s="20" t="s">
        <v>121</v>
      </c>
      <c r="EK8" s="21"/>
      <c r="EL8" s="20"/>
      <c r="EM8" s="21"/>
      <c r="EN8" s="20"/>
      <c r="EO8" s="21"/>
      <c r="EP8" s="20"/>
      <c r="EQ8" s="21"/>
      <c r="ER8" s="20"/>
      <c r="ES8" s="21"/>
      <c r="ET8" s="20"/>
      <c r="EU8" s="21"/>
      <c r="EV8" s="20">
        <v>697</v>
      </c>
      <c r="EW8" s="21" t="s">
        <v>124</v>
      </c>
      <c r="EX8" s="20"/>
      <c r="EY8" s="21"/>
      <c r="EZ8" s="20"/>
      <c r="FA8" s="21"/>
      <c r="FB8" s="20"/>
      <c r="FC8" s="21"/>
      <c r="FD8" s="20"/>
      <c r="FE8" s="21"/>
      <c r="FF8" s="20"/>
      <c r="FG8" s="21"/>
      <c r="FH8" s="20"/>
      <c r="FI8" s="21"/>
      <c r="FJ8" s="20"/>
      <c r="FK8" s="21"/>
      <c r="FL8" s="20"/>
      <c r="FM8" s="21"/>
      <c r="FN8" s="20">
        <v>0</v>
      </c>
      <c r="FO8" s="21">
        <v>0</v>
      </c>
      <c r="FP8" s="20"/>
      <c r="FQ8" s="21"/>
      <c r="FR8" s="20">
        <v>0</v>
      </c>
      <c r="FS8" s="21">
        <v>0</v>
      </c>
      <c r="FT8" s="20"/>
      <c r="FU8" s="21"/>
      <c r="FV8" s="20">
        <v>260</v>
      </c>
      <c r="FW8" s="21">
        <v>26.401110053658602</v>
      </c>
      <c r="FX8" s="20"/>
      <c r="FY8" s="21"/>
      <c r="FZ8" s="20"/>
      <c r="GA8" s="21"/>
      <c r="GB8" s="20"/>
      <c r="GC8" s="21"/>
      <c r="GD8" s="20"/>
      <c r="GE8" s="21"/>
      <c r="GF8" s="20"/>
      <c r="GG8" s="21"/>
      <c r="GH8" s="20"/>
      <c r="GI8" s="21"/>
      <c r="GJ8" s="20">
        <v>0</v>
      </c>
      <c r="GK8" s="21">
        <v>0</v>
      </c>
      <c r="GL8" s="20"/>
      <c r="GM8" s="21"/>
      <c r="GN8" s="20"/>
      <c r="GO8" s="21"/>
      <c r="GP8" s="20"/>
      <c r="GQ8" s="21"/>
      <c r="GR8" s="20"/>
      <c r="GS8" s="21"/>
      <c r="GT8" s="20" t="s">
        <v>125</v>
      </c>
      <c r="GU8" s="21"/>
      <c r="GV8" s="20">
        <v>0</v>
      </c>
      <c r="GW8" s="21">
        <v>0</v>
      </c>
      <c r="GX8" s="20">
        <v>0</v>
      </c>
      <c r="GY8" s="21">
        <v>0</v>
      </c>
      <c r="GZ8" s="20">
        <v>0</v>
      </c>
      <c r="HA8" s="21">
        <v>0</v>
      </c>
    </row>
    <row r="9" spans="1:209" ht="17.25" thickBot="1" x14ac:dyDescent="0.35">
      <c r="A9" s="144" t="s">
        <v>126</v>
      </c>
      <c r="B9" s="145"/>
      <c r="C9" s="146"/>
      <c r="D9" s="26" t="s">
        <v>127</v>
      </c>
      <c r="E9" s="27"/>
      <c r="F9" s="26" t="s">
        <v>128</v>
      </c>
      <c r="G9" s="28"/>
      <c r="H9" s="29" t="s">
        <v>129</v>
      </c>
      <c r="I9" s="28"/>
      <c r="J9" s="26" t="s">
        <v>130</v>
      </c>
      <c r="K9" s="27"/>
      <c r="L9" s="26" t="s">
        <v>131</v>
      </c>
      <c r="M9" s="27"/>
      <c r="N9" s="26" t="s">
        <v>132</v>
      </c>
      <c r="O9" s="27"/>
      <c r="P9" s="26" t="s">
        <v>133</v>
      </c>
      <c r="Q9" s="27"/>
      <c r="R9" s="26" t="s">
        <v>134</v>
      </c>
      <c r="S9" s="27"/>
      <c r="T9" s="26" t="s">
        <v>135</v>
      </c>
      <c r="U9" s="27"/>
      <c r="V9" s="26" t="s">
        <v>136</v>
      </c>
      <c r="W9" s="27"/>
      <c r="X9" s="26" t="s">
        <v>137</v>
      </c>
      <c r="Y9" s="27"/>
      <c r="Z9" s="26" t="s">
        <v>138</v>
      </c>
      <c r="AA9" s="27"/>
      <c r="AB9" s="26" t="s">
        <v>139</v>
      </c>
      <c r="AC9" s="27"/>
      <c r="AD9" s="26" t="s">
        <v>140</v>
      </c>
      <c r="AE9" s="27"/>
      <c r="AF9" s="26" t="s">
        <v>141</v>
      </c>
      <c r="AG9" s="27"/>
      <c r="AH9" s="26" t="s">
        <v>142</v>
      </c>
      <c r="AI9" s="27"/>
      <c r="AJ9" s="26" t="s">
        <v>143</v>
      </c>
      <c r="AK9" s="27"/>
      <c r="AL9" s="26" t="s">
        <v>144</v>
      </c>
      <c r="AM9" s="27"/>
      <c r="AN9" s="26" t="s">
        <v>145</v>
      </c>
      <c r="AO9" s="27"/>
      <c r="AP9" s="26" t="s">
        <v>146</v>
      </c>
      <c r="AQ9" s="27"/>
      <c r="AR9" s="26" t="s">
        <v>147</v>
      </c>
      <c r="AS9" s="27"/>
      <c r="AT9" s="26" t="s">
        <v>148</v>
      </c>
      <c r="AU9" s="27"/>
      <c r="AV9" s="26" t="s">
        <v>149</v>
      </c>
      <c r="AW9" s="27"/>
      <c r="AX9" s="26" t="s">
        <v>150</v>
      </c>
      <c r="AY9" s="27"/>
      <c r="AZ9" s="26" t="s">
        <v>151</v>
      </c>
      <c r="BA9" s="27"/>
      <c r="BB9" s="26" t="s">
        <v>148</v>
      </c>
      <c r="BC9" s="27"/>
      <c r="BD9" s="26" t="s">
        <v>152</v>
      </c>
      <c r="BE9" s="27"/>
      <c r="BF9" s="26" t="s">
        <v>153</v>
      </c>
      <c r="BG9" s="27"/>
      <c r="BH9" s="26" t="s">
        <v>154</v>
      </c>
      <c r="BI9" s="27"/>
      <c r="BJ9" s="26" t="s">
        <v>155</v>
      </c>
      <c r="BK9" s="27"/>
      <c r="BL9" s="26" t="s">
        <v>156</v>
      </c>
      <c r="BM9" s="27"/>
      <c r="BN9" s="26" t="s">
        <v>157</v>
      </c>
      <c r="BO9" s="27"/>
      <c r="BP9" s="26" t="s">
        <v>158</v>
      </c>
      <c r="BQ9" s="27"/>
      <c r="BR9" s="26" t="s">
        <v>159</v>
      </c>
      <c r="BS9" s="27"/>
      <c r="BT9" s="26" t="s">
        <v>160</v>
      </c>
      <c r="BU9" s="27"/>
      <c r="BV9" s="26" t="s">
        <v>161</v>
      </c>
      <c r="BW9" s="27"/>
      <c r="BX9" s="26" t="s">
        <v>153</v>
      </c>
      <c r="BY9" s="27"/>
      <c r="BZ9" s="26" t="s">
        <v>162</v>
      </c>
      <c r="CA9" s="27"/>
      <c r="CB9" s="26" t="s">
        <v>163</v>
      </c>
      <c r="CC9" s="27"/>
      <c r="CD9" s="26" t="s">
        <v>132</v>
      </c>
      <c r="CE9" s="27"/>
      <c r="CF9" s="26" t="s">
        <v>164</v>
      </c>
      <c r="CG9" s="27"/>
      <c r="CH9" s="26" t="s">
        <v>146</v>
      </c>
      <c r="CI9" s="27"/>
      <c r="CJ9" s="26" t="s">
        <v>165</v>
      </c>
      <c r="CK9" s="27"/>
      <c r="CL9" s="26" t="s">
        <v>166</v>
      </c>
      <c r="CM9" s="27"/>
      <c r="CN9" s="26" t="s">
        <v>132</v>
      </c>
      <c r="CO9" s="27"/>
      <c r="CP9" s="26" t="s">
        <v>167</v>
      </c>
      <c r="CQ9" s="27"/>
      <c r="CR9" s="26" t="s">
        <v>168</v>
      </c>
      <c r="CS9" s="27"/>
      <c r="CT9" s="26" t="s">
        <v>169</v>
      </c>
      <c r="CU9" s="27"/>
      <c r="CV9" s="26" t="s">
        <v>170</v>
      </c>
      <c r="CW9" s="27"/>
      <c r="CX9" s="26" t="s">
        <v>171</v>
      </c>
      <c r="CY9" s="27"/>
      <c r="CZ9" s="26" t="s">
        <v>172</v>
      </c>
      <c r="DA9" s="27"/>
      <c r="DB9" s="26" t="s">
        <v>173</v>
      </c>
      <c r="DC9" s="27"/>
      <c r="DD9" s="26" t="s">
        <v>174</v>
      </c>
      <c r="DE9" s="27">
        <v>0</v>
      </c>
      <c r="DF9" s="26" t="s">
        <v>175</v>
      </c>
      <c r="DG9" s="27"/>
      <c r="DH9" s="26" t="s">
        <v>176</v>
      </c>
      <c r="DI9" s="27"/>
      <c r="DJ9" s="26" t="s">
        <v>177</v>
      </c>
      <c r="DK9" s="27"/>
      <c r="DL9" s="26" t="s">
        <v>178</v>
      </c>
      <c r="DM9" s="27"/>
      <c r="DN9" s="26" t="s">
        <v>179</v>
      </c>
      <c r="DO9" s="27"/>
      <c r="DP9" s="26" t="s">
        <v>180</v>
      </c>
      <c r="DQ9" s="27"/>
      <c r="DR9" s="26" t="s">
        <v>181</v>
      </c>
      <c r="DS9" s="27"/>
      <c r="DT9" s="26" t="s">
        <v>182</v>
      </c>
      <c r="DU9" s="27"/>
      <c r="DV9" s="26" t="s">
        <v>183</v>
      </c>
      <c r="DW9" s="27"/>
      <c r="DX9" s="26" t="s">
        <v>145</v>
      </c>
      <c r="DY9" s="27">
        <v>0</v>
      </c>
      <c r="DZ9" s="26" t="s">
        <v>184</v>
      </c>
      <c r="EA9" s="27"/>
      <c r="EB9" s="26" t="s">
        <v>185</v>
      </c>
      <c r="EC9" s="27"/>
      <c r="ED9" s="26" t="s">
        <v>186</v>
      </c>
      <c r="EE9" s="27"/>
      <c r="EF9" s="26" t="s">
        <v>187</v>
      </c>
      <c r="EG9" s="27"/>
      <c r="EH9" s="26" t="s">
        <v>176</v>
      </c>
      <c r="EI9" s="27"/>
      <c r="EJ9" s="26" t="s">
        <v>183</v>
      </c>
      <c r="EK9" s="27"/>
      <c r="EL9" s="26" t="s">
        <v>188</v>
      </c>
      <c r="EM9" s="27"/>
      <c r="EN9" s="26" t="s">
        <v>189</v>
      </c>
      <c r="EO9" s="27"/>
      <c r="EP9" s="26" t="s">
        <v>190</v>
      </c>
      <c r="EQ9" s="27"/>
      <c r="ER9" s="26" t="s">
        <v>191</v>
      </c>
      <c r="ES9" s="27"/>
      <c r="ET9" s="26" t="s">
        <v>192</v>
      </c>
      <c r="EU9" s="27"/>
      <c r="EV9" s="26" t="s">
        <v>193</v>
      </c>
      <c r="EW9" s="27"/>
      <c r="EX9" s="26" t="s">
        <v>155</v>
      </c>
      <c r="EY9" s="27"/>
      <c r="EZ9" s="26" t="s">
        <v>194</v>
      </c>
      <c r="FA9" s="27"/>
      <c r="FB9" s="26" t="s">
        <v>195</v>
      </c>
      <c r="FC9" s="27"/>
      <c r="FD9" s="26" t="s">
        <v>196</v>
      </c>
      <c r="FE9" s="27"/>
      <c r="FF9" s="26" t="s">
        <v>197</v>
      </c>
      <c r="FG9" s="27"/>
      <c r="FH9" s="26" t="s">
        <v>198</v>
      </c>
      <c r="FI9" s="27"/>
      <c r="FJ9" s="26" t="s">
        <v>199</v>
      </c>
      <c r="FK9" s="27"/>
      <c r="FL9" s="26" t="s">
        <v>200</v>
      </c>
      <c r="FM9" s="27"/>
      <c r="FN9" s="26" t="s">
        <v>201</v>
      </c>
      <c r="FO9" s="27">
        <v>0</v>
      </c>
      <c r="FP9" s="26" t="s">
        <v>202</v>
      </c>
      <c r="FQ9" s="27"/>
      <c r="FR9" s="26" t="s">
        <v>203</v>
      </c>
      <c r="FS9" s="27">
        <v>0</v>
      </c>
      <c r="FT9" s="26" t="s">
        <v>184</v>
      </c>
      <c r="FU9" s="27"/>
      <c r="FV9" s="26" t="s">
        <v>204</v>
      </c>
      <c r="FW9" s="27"/>
      <c r="FX9" s="26" t="s">
        <v>205</v>
      </c>
      <c r="FY9" s="27"/>
      <c r="FZ9" s="26" t="s">
        <v>191</v>
      </c>
      <c r="GA9" s="27"/>
      <c r="GB9" s="26" t="s">
        <v>192</v>
      </c>
      <c r="GC9" s="27"/>
      <c r="GD9" s="26" t="s">
        <v>206</v>
      </c>
      <c r="GE9" s="27"/>
      <c r="GF9" s="26" t="s">
        <v>207</v>
      </c>
      <c r="GG9" s="27"/>
      <c r="GH9" s="26" t="s">
        <v>208</v>
      </c>
      <c r="GI9" s="27"/>
      <c r="GJ9" s="26" t="s">
        <v>209</v>
      </c>
      <c r="GK9" s="27"/>
      <c r="GL9" s="26" t="s">
        <v>210</v>
      </c>
      <c r="GM9" s="27"/>
      <c r="GN9" s="26" t="s">
        <v>211</v>
      </c>
      <c r="GO9" s="27"/>
      <c r="GP9" s="26" t="s">
        <v>212</v>
      </c>
      <c r="GQ9" s="27"/>
      <c r="GR9" s="26" t="s">
        <v>213</v>
      </c>
      <c r="GS9" s="27"/>
      <c r="GT9" s="26" t="s">
        <v>214</v>
      </c>
      <c r="GU9" s="27"/>
      <c r="GV9" s="26" t="s">
        <v>215</v>
      </c>
      <c r="GW9" s="27">
        <v>0</v>
      </c>
      <c r="GX9" s="26" t="s">
        <v>216</v>
      </c>
      <c r="GY9" s="27">
        <v>0</v>
      </c>
      <c r="GZ9" s="26" t="s">
        <v>167</v>
      </c>
      <c r="HA9" s="27">
        <v>0</v>
      </c>
    </row>
    <row r="10" spans="1:209" ht="16.5" customHeight="1" thickBot="1" x14ac:dyDescent="0.35">
      <c r="A10" s="147" t="s">
        <v>217</v>
      </c>
      <c r="B10" s="30" t="s">
        <v>113</v>
      </c>
      <c r="C10" s="31"/>
      <c r="D10" s="32">
        <v>16167.111168249743</v>
      </c>
      <c r="E10" s="33">
        <v>0.59037602125956712</v>
      </c>
      <c r="F10" s="34">
        <v>42688.205578074892</v>
      </c>
      <c r="G10" s="35">
        <v>0.5847447879032931</v>
      </c>
      <c r="H10" s="34">
        <v>25492.944703248835</v>
      </c>
      <c r="I10" s="35">
        <v>0.65211108717845589</v>
      </c>
      <c r="J10" s="32">
        <v>28223.500241998907</v>
      </c>
      <c r="K10" s="33">
        <v>0.66808381676123629</v>
      </c>
      <c r="L10" s="32">
        <v>7745.0995220521509</v>
      </c>
      <c r="M10" s="33">
        <v>0.51246160103181837</v>
      </c>
      <c r="N10" s="32">
        <v>26683.393399479701</v>
      </c>
      <c r="O10" s="33">
        <v>0.68442588740385912</v>
      </c>
      <c r="P10" s="32">
        <v>23400.249652126564</v>
      </c>
      <c r="Q10" s="33">
        <v>0.54560437581790222</v>
      </c>
      <c r="R10" s="32">
        <v>47011.038750075626</v>
      </c>
      <c r="S10" s="33">
        <v>0.67733995591958607</v>
      </c>
      <c r="T10" s="32">
        <v>46720.961128924922</v>
      </c>
      <c r="U10" s="33">
        <v>0.69047322072793982</v>
      </c>
      <c r="V10" s="32">
        <v>31264.826728779721</v>
      </c>
      <c r="W10" s="33">
        <v>0.69300701168560974</v>
      </c>
      <c r="X10" s="32">
        <v>15697.812934841793</v>
      </c>
      <c r="Y10" s="33">
        <v>0.5504965029238128</v>
      </c>
      <c r="Z10" s="32">
        <v>15445.64244660899</v>
      </c>
      <c r="AA10" s="33">
        <v>0.66921118542035563</v>
      </c>
      <c r="AB10" s="32">
        <v>103776.88027103878</v>
      </c>
      <c r="AC10" s="33">
        <v>0.63398822971627955</v>
      </c>
      <c r="AD10" s="32">
        <v>15949.540111319498</v>
      </c>
      <c r="AE10" s="33">
        <v>0.66804770557395809</v>
      </c>
      <c r="AF10" s="32">
        <v>15524.974438865025</v>
      </c>
      <c r="AG10" s="33">
        <v>0.69227261144904972</v>
      </c>
      <c r="AH10" s="32">
        <v>31766.591747837134</v>
      </c>
      <c r="AI10" s="33">
        <v>0.63568298971692405</v>
      </c>
      <c r="AJ10" s="32">
        <v>6500.7113255490349</v>
      </c>
      <c r="AK10" s="33">
        <v>0.6073494007642054</v>
      </c>
      <c r="AL10" s="32">
        <v>8591.2339524472136</v>
      </c>
      <c r="AM10" s="33">
        <v>0.56920066702509542</v>
      </c>
      <c r="AN10" s="32">
        <v>8695.9313933087287</v>
      </c>
      <c r="AO10" s="33">
        <v>0.54180533614083659</v>
      </c>
      <c r="AP10" s="32">
        <v>19251.015639179623</v>
      </c>
      <c r="AQ10" s="33">
        <v>0.63655282985568606</v>
      </c>
      <c r="AR10" s="32">
        <v>47536.383840522722</v>
      </c>
      <c r="AS10" s="33">
        <v>0.64156321834684393</v>
      </c>
      <c r="AT10" s="32">
        <v>25141.281989231047</v>
      </c>
      <c r="AU10" s="33">
        <v>0.6075928592237464</v>
      </c>
      <c r="AV10" s="32">
        <v>29833.936929033818</v>
      </c>
      <c r="AW10" s="33">
        <v>0.53128795411627361</v>
      </c>
      <c r="AX10" s="32">
        <v>81653.271674027463</v>
      </c>
      <c r="AY10" s="33">
        <v>0.58381201886038825</v>
      </c>
      <c r="AZ10" s="32">
        <v>28982.488353802408</v>
      </c>
      <c r="BA10" s="33">
        <v>0.62151524290230398</v>
      </c>
      <c r="BB10" s="32">
        <v>40350.253554359006</v>
      </c>
      <c r="BC10" s="33">
        <v>0.63147877201909752</v>
      </c>
      <c r="BD10" s="32">
        <v>29186.178837195232</v>
      </c>
      <c r="BE10" s="33">
        <v>0.55058394602108673</v>
      </c>
      <c r="BF10" s="32">
        <v>13310.668703490835</v>
      </c>
      <c r="BG10" s="33">
        <v>0.60013701496456429</v>
      </c>
      <c r="BH10" s="32">
        <v>33280.359610381747</v>
      </c>
      <c r="BI10" s="33">
        <v>0.65066981960132231</v>
      </c>
      <c r="BJ10" s="32">
        <v>34051.67212172546</v>
      </c>
      <c r="BK10" s="33">
        <v>0.64450068736146671</v>
      </c>
      <c r="BL10" s="32">
        <v>18293.224181741181</v>
      </c>
      <c r="BM10" s="33">
        <v>0.60474048131482849</v>
      </c>
      <c r="BN10" s="32">
        <v>14666.515215681531</v>
      </c>
      <c r="BO10" s="33">
        <v>0.5649640016770674</v>
      </c>
      <c r="BP10" s="32">
        <v>29889.339947970231</v>
      </c>
      <c r="BQ10" s="33">
        <v>0.62087373077021668</v>
      </c>
      <c r="BR10" s="32">
        <v>45410.066065702704</v>
      </c>
      <c r="BS10" s="33">
        <v>0.63436806312308536</v>
      </c>
      <c r="BT10" s="32">
        <v>80585.358521386646</v>
      </c>
      <c r="BU10" s="33">
        <v>0.5383835598965192</v>
      </c>
      <c r="BV10" s="32">
        <v>79756.783380724781</v>
      </c>
      <c r="BW10" s="33">
        <v>0.66232983660332645</v>
      </c>
      <c r="BX10" s="32">
        <v>9833.772339524472</v>
      </c>
      <c r="BY10" s="33">
        <v>0.60713534723794615</v>
      </c>
      <c r="BZ10" s="32">
        <v>22545.886018512916</v>
      </c>
      <c r="CA10" s="33">
        <v>0.63162771178588784</v>
      </c>
      <c r="CB10" s="32">
        <v>31856.997035513337</v>
      </c>
      <c r="CC10" s="33">
        <v>0.49046790666144341</v>
      </c>
      <c r="CD10" s="32">
        <v>17330.729021719402</v>
      </c>
      <c r="CE10" s="33">
        <v>0.67176308429039389</v>
      </c>
      <c r="CF10" s="32">
        <v>35056.09437957529</v>
      </c>
      <c r="CG10" s="33">
        <v>0.60921320708400972</v>
      </c>
      <c r="CH10" s="32">
        <v>19215.736130437414</v>
      </c>
      <c r="CI10" s="33">
        <v>0.63661598679695852</v>
      </c>
      <c r="CJ10" s="32">
        <v>109469.54141206364</v>
      </c>
      <c r="CK10" s="33">
        <v>0.47507306712744751</v>
      </c>
      <c r="CL10" s="32">
        <v>79926.794996672514</v>
      </c>
      <c r="CM10" s="33">
        <v>0.67155836641512068</v>
      </c>
      <c r="CN10" s="32">
        <v>23221.874039566821</v>
      </c>
      <c r="CO10" s="33">
        <v>0.64812794682279207</v>
      </c>
      <c r="CP10" s="32">
        <v>23366.928943069757</v>
      </c>
      <c r="CQ10" s="33">
        <v>0.65939492935224908</v>
      </c>
      <c r="CR10" s="32">
        <v>6690.7029463367417</v>
      </c>
      <c r="CS10" s="33">
        <v>0.44655108840242758</v>
      </c>
      <c r="CT10" s="32">
        <v>62516.378304797625</v>
      </c>
      <c r="CU10" s="33">
        <v>0.69092907375939328</v>
      </c>
      <c r="CV10" s="32">
        <v>129588.16050577772</v>
      </c>
      <c r="CW10" s="33">
        <v>0.55036102370578244</v>
      </c>
      <c r="CX10" s="32">
        <v>41001.518391917234</v>
      </c>
      <c r="CY10" s="33">
        <v>0.63295422430363024</v>
      </c>
      <c r="CZ10" s="32">
        <v>7157.6565430455557</v>
      </c>
      <c r="DA10" s="33">
        <v>0.48860715618161527</v>
      </c>
      <c r="DB10" s="32">
        <v>18784.554056506746</v>
      </c>
      <c r="DC10" s="33">
        <v>0.61370905045519297</v>
      </c>
      <c r="DD10" s="32">
        <v>15848.358975134612</v>
      </c>
      <c r="DE10" s="33">
        <v>0.65661849692252094</v>
      </c>
      <c r="DF10" s="32">
        <v>23683.64692358884</v>
      </c>
      <c r="DG10" s="33">
        <v>0.67112613143146038</v>
      </c>
      <c r="DH10" s="32">
        <v>11902.600490047795</v>
      </c>
      <c r="DI10" s="33">
        <v>0.54766805672171537</v>
      </c>
      <c r="DJ10" s="32">
        <v>36264.762871317085</v>
      </c>
      <c r="DK10" s="33">
        <v>0.50706498560420232</v>
      </c>
      <c r="DL10" s="32">
        <v>68140.419868110592</v>
      </c>
      <c r="DM10" s="33">
        <v>0.65364646809340421</v>
      </c>
      <c r="DN10" s="32">
        <v>30023.27654425555</v>
      </c>
      <c r="DO10" s="33">
        <v>0.55675669025436103</v>
      </c>
      <c r="DP10" s="32">
        <v>32010.381753282109</v>
      </c>
      <c r="DQ10" s="33">
        <v>0.58084058927206039</v>
      </c>
      <c r="DR10" s="32">
        <v>94787.8879545042</v>
      </c>
      <c r="DS10" s="33">
        <v>0.51004207316714878</v>
      </c>
      <c r="DT10" s="32">
        <v>33015.929427067582</v>
      </c>
      <c r="DU10" s="33">
        <v>0.65748396668655895</v>
      </c>
      <c r="DV10" s="32">
        <v>48342.30745961643</v>
      </c>
      <c r="DW10" s="33">
        <v>0.59855095700146477</v>
      </c>
      <c r="DX10" s="32">
        <v>16949.413152640813</v>
      </c>
      <c r="DY10" s="33">
        <v>0.62103667917207184</v>
      </c>
      <c r="DZ10" s="32">
        <v>35972.414967632649</v>
      </c>
      <c r="EA10" s="33">
        <v>0.63623711946111983</v>
      </c>
      <c r="EB10" s="32">
        <v>57740.150977070603</v>
      </c>
      <c r="EC10" s="33">
        <v>0.63113377793925463</v>
      </c>
      <c r="ED10" s="32">
        <v>18445.894760723575</v>
      </c>
      <c r="EE10" s="33">
        <v>0.58799739502192694</v>
      </c>
      <c r="EF10" s="32">
        <v>53308</v>
      </c>
      <c r="EG10" s="33" t="e">
        <f>EF10/$EM$69</f>
        <v>#DIV/0!</v>
      </c>
      <c r="EH10" s="32">
        <v>11902.600490047795</v>
      </c>
      <c r="EI10" s="33">
        <v>0.49740713890084159</v>
      </c>
      <c r="EJ10" s="32">
        <v>48342.30745961643</v>
      </c>
      <c r="EK10" s="33">
        <v>0.59855095700146477</v>
      </c>
      <c r="EL10" s="32">
        <v>27084.797507411215</v>
      </c>
      <c r="EM10" s="33">
        <v>0.62325850576669206</v>
      </c>
      <c r="EN10" s="32">
        <v>215444.54961275149</v>
      </c>
      <c r="EO10" s="33">
        <v>0.57413828997183891</v>
      </c>
      <c r="EP10" s="32">
        <v>33344.111863996608</v>
      </c>
      <c r="EQ10" s="33">
        <v>0.6496754621933386</v>
      </c>
      <c r="ER10" s="32">
        <v>47118.838858975134</v>
      </c>
      <c r="ES10" s="33">
        <v>0.60237778776722906</v>
      </c>
      <c r="ET10" s="32">
        <v>117266.17762720068</v>
      </c>
      <c r="EU10" s="33">
        <v>0.60040088540921221</v>
      </c>
      <c r="EV10" s="32">
        <v>45481.549367777843</v>
      </c>
      <c r="EW10" s="33">
        <v>0.55833276831471057</v>
      </c>
      <c r="EX10" s="32">
        <v>34064.069211688548</v>
      </c>
      <c r="EY10" s="33">
        <v>0.64412412412412412</v>
      </c>
      <c r="EZ10" s="32">
        <v>43347.646439591022</v>
      </c>
      <c r="FA10" s="33">
        <v>0.6746411530941171</v>
      </c>
      <c r="FB10" s="32">
        <v>79798.067033698346</v>
      </c>
      <c r="FC10" s="33">
        <v>0.66943405383027188</v>
      </c>
      <c r="FD10" s="32">
        <v>41539.718071268675</v>
      </c>
      <c r="FE10" s="33">
        <v>0.66845802240168228</v>
      </c>
      <c r="FF10" s="32">
        <v>73128.541926311329</v>
      </c>
      <c r="FG10" s="33">
        <v>0.62086275802103719</v>
      </c>
      <c r="FH10" s="32">
        <v>16950.511222699497</v>
      </c>
      <c r="FI10" s="33">
        <v>0.56247051383716606</v>
      </c>
      <c r="FJ10" s="32">
        <v>16993.163530764112</v>
      </c>
      <c r="FK10" s="33">
        <v>0.64355596288234618</v>
      </c>
      <c r="FL10" s="32">
        <v>41907.979914090385</v>
      </c>
      <c r="FM10" s="33">
        <v>0.63104198902526942</v>
      </c>
      <c r="FN10" s="32">
        <v>2616.4468509891708</v>
      </c>
      <c r="FO10" s="33">
        <v>0.45960993904600173</v>
      </c>
      <c r="FP10" s="32">
        <v>86877.787524956148</v>
      </c>
      <c r="FQ10" s="36">
        <v>0.66214070295036564</v>
      </c>
      <c r="FR10" s="32">
        <v>1057.3386169762236</v>
      </c>
      <c r="FS10" s="33">
        <v>0.41555358202230092</v>
      </c>
      <c r="FT10" s="32">
        <v>35972.414967632649</v>
      </c>
      <c r="FU10" s="33">
        <v>0.63623711946111994</v>
      </c>
      <c r="FV10" s="32">
        <v>84782.691027890382</v>
      </c>
      <c r="FW10" s="33">
        <v>0.65106195066191463</v>
      </c>
      <c r="FX10" s="32">
        <v>55030.753675358457</v>
      </c>
      <c r="FY10" s="33">
        <v>0.58737571661068577</v>
      </c>
      <c r="FZ10" s="32">
        <v>47127.604936777789</v>
      </c>
      <c r="GA10" s="33">
        <v>0.60400770719181285</v>
      </c>
      <c r="GB10" s="32">
        <v>117349.38381027285</v>
      </c>
      <c r="GC10" s="33">
        <v>0.60315502159969192</v>
      </c>
      <c r="GD10" s="32">
        <v>86430.818561316468</v>
      </c>
      <c r="GE10" s="33">
        <v>0.67361603911703749</v>
      </c>
      <c r="GF10" s="32">
        <v>70736.133462399419</v>
      </c>
      <c r="GG10" s="33">
        <v>0.60107170095602314</v>
      </c>
      <c r="GH10" s="32">
        <v>55721.242452658968</v>
      </c>
      <c r="GI10" s="33">
        <v>0.66177590405366016</v>
      </c>
      <c r="GJ10" s="32">
        <v>25700.890525742634</v>
      </c>
      <c r="GK10" s="33">
        <v>0.62164385555562418</v>
      </c>
      <c r="GL10" s="32">
        <v>84053.944582249373</v>
      </c>
      <c r="GM10" s="33">
        <v>0.62282384990858108</v>
      </c>
      <c r="GN10" s="32">
        <v>45950.314114586487</v>
      </c>
      <c r="GO10" s="33">
        <v>0.6632597855047726</v>
      </c>
      <c r="GP10" s="32">
        <v>33438.668400992196</v>
      </c>
      <c r="GQ10" s="33">
        <v>0.60460343214564749</v>
      </c>
      <c r="GR10" s="32">
        <v>77514.162986266558</v>
      </c>
      <c r="GS10" s="33">
        <v>0.60572644083956328</v>
      </c>
      <c r="GT10" s="32">
        <v>22325.497610260754</v>
      </c>
      <c r="GU10" s="33">
        <v>0.64149139587659532</v>
      </c>
      <c r="GV10" s="32">
        <v>31795.63191965636</v>
      </c>
      <c r="GW10" s="33">
        <v>0.57879637226667258</v>
      </c>
      <c r="GX10" s="32">
        <v>21312.844092201583</v>
      </c>
      <c r="GY10" s="33">
        <v>0.62655959590569954</v>
      </c>
      <c r="GZ10" s="32">
        <v>23366.928943069757</v>
      </c>
      <c r="HA10" s="33">
        <v>0.65939492935224908</v>
      </c>
    </row>
    <row r="11" spans="1:209" ht="41.25" thickBot="1" x14ac:dyDescent="0.35">
      <c r="A11" s="147" t="s">
        <v>217</v>
      </c>
      <c r="B11" s="37" t="s">
        <v>218</v>
      </c>
      <c r="C11" s="38"/>
      <c r="D11" s="39">
        <v>1312.4339040474315</v>
      </c>
      <c r="E11" s="33">
        <v>4.79262806059845E-2</v>
      </c>
      <c r="F11" s="22">
        <v>1394.3826002782985</v>
      </c>
      <c r="G11" s="35">
        <v>1.9100309952465006E-2</v>
      </c>
      <c r="H11" s="22">
        <v>1175.6085667614525</v>
      </c>
      <c r="I11" s="35">
        <v>3.007213915422716E-2</v>
      </c>
      <c r="J11" s="39">
        <v>1638.2764837558232</v>
      </c>
      <c r="K11" s="33">
        <v>3.8779952762522781E-2</v>
      </c>
      <c r="L11" s="39">
        <v>1386.8685340915968</v>
      </c>
      <c r="M11" s="33">
        <v>9.1763426328822464E-2</v>
      </c>
      <c r="N11" s="39">
        <v>684.54231955956391</v>
      </c>
      <c r="O11" s="33">
        <v>1.7558429601355958E-2</v>
      </c>
      <c r="P11" s="39">
        <v>1460.4634279145744</v>
      </c>
      <c r="Q11" s="33">
        <v>3.4052424603931118E-2</v>
      </c>
      <c r="R11" s="39">
        <v>1596.6530643112105</v>
      </c>
      <c r="S11" s="33">
        <v>2.3004744097420898E-2</v>
      </c>
      <c r="T11" s="39">
        <v>362.69970960130678</v>
      </c>
      <c r="U11" s="33">
        <v>5.3602158558861274E-3</v>
      </c>
      <c r="V11" s="39">
        <v>1001.8648133583399</v>
      </c>
      <c r="W11" s="33">
        <v>2.220704264384462E-2</v>
      </c>
      <c r="X11" s="39">
        <v>1201.9178413697139</v>
      </c>
      <c r="Y11" s="33">
        <v>4.2149283548105536E-2</v>
      </c>
      <c r="Z11" s="39">
        <v>677.4116098977554</v>
      </c>
      <c r="AA11" s="33">
        <v>2.9350117875913601E-2</v>
      </c>
      <c r="AB11" s="39">
        <v>3929.6232076955653</v>
      </c>
      <c r="AC11" s="33">
        <v>2.4006646320376825E-2</v>
      </c>
      <c r="AD11" s="39">
        <v>877.40894790973437</v>
      </c>
      <c r="AE11" s="33">
        <v>3.6750340787892882E-2</v>
      </c>
      <c r="AF11" s="39">
        <v>533.99700526347624</v>
      </c>
      <c r="AG11" s="33">
        <v>2.3811408050649518E-2</v>
      </c>
      <c r="AH11" s="39">
        <v>1121.0020872406074</v>
      </c>
      <c r="AI11" s="33">
        <v>2.2432433543788651E-2</v>
      </c>
      <c r="AJ11" s="39">
        <v>75.529493617278717</v>
      </c>
      <c r="AK11" s="33">
        <v>7.0565804865368011E-3</v>
      </c>
      <c r="AL11" s="39">
        <v>621.19840885716019</v>
      </c>
      <c r="AM11" s="33">
        <v>4.1156666275594132E-2</v>
      </c>
      <c r="AN11" s="39">
        <v>428.33807247867384</v>
      </c>
      <c r="AO11" s="33">
        <v>2.668786618070626E-2</v>
      </c>
      <c r="AP11" s="39">
        <v>699.69517212172639</v>
      </c>
      <c r="AQ11" s="33">
        <v>2.3136075010192377E-2</v>
      </c>
      <c r="AR11" s="39">
        <v>958.471776877004</v>
      </c>
      <c r="AS11" s="33">
        <v>1.2935780725996994E-2</v>
      </c>
      <c r="AT11" s="39">
        <v>668.52199165103752</v>
      </c>
      <c r="AU11" s="33">
        <v>1.6156263969959585E-2</v>
      </c>
      <c r="AV11" s="39">
        <v>928.31384233770927</v>
      </c>
      <c r="AW11" s="33">
        <v>1.653157487215319E-2</v>
      </c>
      <c r="AX11" s="39">
        <v>8454.3816927823827</v>
      </c>
      <c r="AY11" s="33">
        <v>6.0447910329716463E-2</v>
      </c>
      <c r="AZ11" s="39">
        <v>1170.669731986206</v>
      </c>
      <c r="BA11" s="33">
        <v>2.5104438030019067E-2</v>
      </c>
      <c r="BB11" s="39">
        <v>1067.2951479218343</v>
      </c>
      <c r="BC11" s="33">
        <v>1.6703097750889153E-2</v>
      </c>
      <c r="BD11" s="39">
        <v>2105.4056506745719</v>
      </c>
      <c r="BE11" s="33">
        <v>3.9717516896942917E-2</v>
      </c>
      <c r="BF11" s="39">
        <v>417.11882146530337</v>
      </c>
      <c r="BG11" s="33">
        <v>1.880660167990459E-2</v>
      </c>
      <c r="BH11" s="39">
        <v>1527.9550184524169</v>
      </c>
      <c r="BI11" s="33">
        <v>2.9873301486358701E-2</v>
      </c>
      <c r="BJ11" s="39">
        <v>2024.9748321132554</v>
      </c>
      <c r="BK11" s="33">
        <v>3.8326977498235472E-2</v>
      </c>
      <c r="BL11" s="39">
        <v>1354.8984814568335</v>
      </c>
      <c r="BM11" s="33">
        <v>4.4790461849079428E-2</v>
      </c>
      <c r="BN11" s="39">
        <v>880.35755339100979</v>
      </c>
      <c r="BO11" s="33">
        <v>3.391196333663677E-2</v>
      </c>
      <c r="BP11" s="39">
        <v>915.63312965091654</v>
      </c>
      <c r="BQ11" s="33">
        <v>1.9019910048625216E-2</v>
      </c>
      <c r="BR11" s="39">
        <v>1001.6860971625557</v>
      </c>
      <c r="BS11" s="33">
        <v>1.3993321841790189E-2</v>
      </c>
      <c r="BT11" s="39">
        <v>3732.7608748260632</v>
      </c>
      <c r="BU11" s="33">
        <v>2.4938240952268716E-2</v>
      </c>
      <c r="BV11" s="39">
        <v>2700.8556173997222</v>
      </c>
      <c r="BW11" s="33">
        <v>2.2428904275418115E-2</v>
      </c>
      <c r="BX11" s="39">
        <v>608.04383205275576</v>
      </c>
      <c r="BY11" s="33">
        <v>3.7540517551486539E-2</v>
      </c>
      <c r="BZ11" s="39">
        <v>480.9728356222397</v>
      </c>
      <c r="CA11" s="33">
        <v>1.3474554574869752E-2</v>
      </c>
      <c r="CB11" s="39">
        <v>1711.5577167402746</v>
      </c>
      <c r="CC11" s="33">
        <v>2.6351012605614704E-2</v>
      </c>
      <c r="CD11" s="39">
        <v>393.62036420836102</v>
      </c>
      <c r="CE11" s="33">
        <v>1.5257271033938502E-2</v>
      </c>
      <c r="CF11" s="39">
        <v>1392.1271099280052</v>
      </c>
      <c r="CG11" s="33">
        <v>2.4192718450745703E-2</v>
      </c>
      <c r="CH11" s="39">
        <v>866.76777179502574</v>
      </c>
      <c r="CI11" s="33">
        <v>2.871595533054036E-2</v>
      </c>
      <c r="CJ11" s="39">
        <v>13246.221792001936</v>
      </c>
      <c r="CK11" s="33">
        <v>5.7485608630523662E-2</v>
      </c>
      <c r="CL11" s="39">
        <v>2129.1275031762357</v>
      </c>
      <c r="CM11" s="33">
        <v>1.7889287165612781E-2</v>
      </c>
      <c r="CN11" s="39">
        <v>732.81865206606562</v>
      </c>
      <c r="CO11" s="33">
        <v>2.0453140325701509E-2</v>
      </c>
      <c r="CP11" s="39">
        <v>897.3376489805795</v>
      </c>
      <c r="CQ11" s="33">
        <v>2.5322107885732706E-2</v>
      </c>
      <c r="CR11" s="39">
        <v>236.19722911246902</v>
      </c>
      <c r="CS11" s="33">
        <v>1.5764282256105724E-2</v>
      </c>
      <c r="CT11" s="39">
        <v>1316.8669005989473</v>
      </c>
      <c r="CU11" s="33">
        <v>1.4553972136057173E-2</v>
      </c>
      <c r="CV11" s="39">
        <v>10274.50024199891</v>
      </c>
      <c r="CW11" s="33">
        <v>4.3635810935056175E-2</v>
      </c>
      <c r="CX11" s="39">
        <v>2511.7107508016215</v>
      </c>
      <c r="CY11" s="33">
        <v>3.8774123308129273E-2</v>
      </c>
      <c r="CZ11" s="39">
        <v>406.44933147800833</v>
      </c>
      <c r="DA11" s="33">
        <v>2.7745680557744016E-2</v>
      </c>
      <c r="DB11" s="39">
        <v>1308.5484905317933</v>
      </c>
      <c r="DC11" s="33">
        <v>4.2751510053584144E-2</v>
      </c>
      <c r="DD11" s="39">
        <v>350.86919958860182</v>
      </c>
      <c r="DE11" s="33">
        <v>1.4536975519783675E-2</v>
      </c>
      <c r="DF11" s="39">
        <v>600.39929820315808</v>
      </c>
      <c r="DG11" s="33">
        <v>1.7013581549213126E-2</v>
      </c>
      <c r="DH11" s="39">
        <v>1866.5723274245265</v>
      </c>
      <c r="DI11" s="33">
        <v>8.5885604590851469E-2</v>
      </c>
      <c r="DJ11" s="39">
        <v>3775.3230987960551</v>
      </c>
      <c r="DK11" s="33">
        <v>5.2787720122012431E-2</v>
      </c>
      <c r="DL11" s="39">
        <v>2464.2144110351537</v>
      </c>
      <c r="DM11" s="33">
        <v>2.3638319950414752E-2</v>
      </c>
      <c r="DN11" s="39">
        <v>1081.0357250892371</v>
      </c>
      <c r="DO11" s="33">
        <v>2.0046908319957018E-2</v>
      </c>
      <c r="DP11" s="39">
        <v>991.55121301954875</v>
      </c>
      <c r="DQ11" s="33">
        <v>1.7992075049359544E-2</v>
      </c>
      <c r="DR11" s="39">
        <v>12080.16818924315</v>
      </c>
      <c r="DS11" s="33">
        <v>6.5001912801419648E-2</v>
      </c>
      <c r="DT11" s="39">
        <v>698.54313630588661</v>
      </c>
      <c r="DU11" s="33">
        <v>1.3910888475050164E-2</v>
      </c>
      <c r="DV11" s="39">
        <v>2231.1124702038842</v>
      </c>
      <c r="DW11" s="33">
        <v>2.7624550303768907E-2</v>
      </c>
      <c r="DX11" s="39">
        <v>1772.2306249621877</v>
      </c>
      <c r="DY11" s="33">
        <v>6.4935594651079689E-2</v>
      </c>
      <c r="DZ11" s="39">
        <v>1114.3579768891041</v>
      </c>
      <c r="EA11" s="33">
        <v>1.9709433183798943E-2</v>
      </c>
      <c r="EB11" s="39">
        <v>1323.6704882327952</v>
      </c>
      <c r="EC11" s="33">
        <v>1.446849621707459E-2</v>
      </c>
      <c r="ED11" s="39">
        <v>783.22378849294932</v>
      </c>
      <c r="EE11" s="33">
        <v>2.4966723128750715E-2</v>
      </c>
      <c r="EF11" s="39">
        <v>7510</v>
      </c>
      <c r="EG11" s="33" t="e">
        <f>EF11/$EM$69</f>
        <v>#DIV/0!</v>
      </c>
      <c r="EH11" s="39">
        <v>1441.7085123116947</v>
      </c>
      <c r="EI11" s="33">
        <v>6.0248691606305374E-2</v>
      </c>
      <c r="EJ11" s="39">
        <v>2231.1124702038842</v>
      </c>
      <c r="EK11" s="33">
        <v>2.7624550303768907E-2</v>
      </c>
      <c r="EL11" s="39">
        <v>912.63839312723087</v>
      </c>
      <c r="EM11" s="33">
        <v>2.1001066781102921E-2</v>
      </c>
      <c r="EN11" s="39">
        <v>9807.0058684735905</v>
      </c>
      <c r="EO11" s="33">
        <v>2.6134694932825352E-2</v>
      </c>
      <c r="EP11" s="39">
        <v>779.98554056506748</v>
      </c>
      <c r="EQ11" s="33">
        <v>1.5197209889338285E-2</v>
      </c>
      <c r="ER11" s="39">
        <v>2228.0908403412186</v>
      </c>
      <c r="ES11" s="33">
        <v>2.8484412261647191E-2</v>
      </c>
      <c r="ET11" s="39">
        <v>6074.9056204247072</v>
      </c>
      <c r="EU11" s="33">
        <v>3.1103416066614931E-2</v>
      </c>
      <c r="EV11" s="39">
        <v>3123.8644201101092</v>
      </c>
      <c r="EW11" s="33">
        <v>3.8348646731801571E-2</v>
      </c>
      <c r="EX11" s="39">
        <v>1185.4921652852561</v>
      </c>
      <c r="EY11" s="33">
        <v>2.2416702416702412E-2</v>
      </c>
      <c r="EZ11" s="39">
        <v>1420.9157238792425</v>
      </c>
      <c r="FA11" s="33">
        <v>2.2114423761007741E-2</v>
      </c>
      <c r="FB11" s="39">
        <v>1196.6876399056202</v>
      </c>
      <c r="FC11" s="33">
        <v>1.0039133624781885E-2</v>
      </c>
      <c r="FD11" s="39">
        <v>1042.4103091536088</v>
      </c>
      <c r="FE11" s="33">
        <v>1.6774488757782421E-2</v>
      </c>
      <c r="FF11" s="39">
        <v>1995.943009256458</v>
      </c>
      <c r="FG11" s="33">
        <v>1.6945595371345861E-2</v>
      </c>
      <c r="FH11" s="39">
        <v>4012.6081432633569</v>
      </c>
      <c r="FI11" s="33">
        <v>0.13315077843469886</v>
      </c>
      <c r="FJ11" s="39">
        <v>494.58527436626537</v>
      </c>
      <c r="FK11" s="33">
        <v>1.8730667888647037E-2</v>
      </c>
      <c r="FL11" s="39">
        <v>2202.6498880755034</v>
      </c>
      <c r="FM11" s="33">
        <v>3.3167061961631709E-2</v>
      </c>
      <c r="FN11" s="39">
        <v>474.36929033819348</v>
      </c>
      <c r="FO11" s="33">
        <v>8.332859524175161E-2</v>
      </c>
      <c r="FP11" s="39">
        <v>5021.5288281202729</v>
      </c>
      <c r="FQ11" s="36">
        <v>3.8271677063391719E-2</v>
      </c>
      <c r="FR11" s="39">
        <v>64.426160082279623</v>
      </c>
      <c r="FS11" s="33">
        <v>2.5320669431990968E-2</v>
      </c>
      <c r="FT11" s="39">
        <v>1114.3579768891038</v>
      </c>
      <c r="FU11" s="33">
        <v>1.9709433183798943E-2</v>
      </c>
      <c r="FV11" s="39">
        <v>2094.592785407468</v>
      </c>
      <c r="FW11" s="33">
        <v>1.6084765040792925E-2</v>
      </c>
      <c r="FX11" s="39">
        <v>2210.7899449452475</v>
      </c>
      <c r="FY11" s="33">
        <v>2.3597066030541781E-2</v>
      </c>
      <c r="FZ11" s="39">
        <v>3370.8906164922259</v>
      </c>
      <c r="GA11" s="33">
        <v>4.3202787733287992E-2</v>
      </c>
      <c r="GB11" s="39">
        <v>5889.2249984875061</v>
      </c>
      <c r="GC11" s="33">
        <v>3.0269572074712699E-2</v>
      </c>
      <c r="GD11" s="39">
        <v>4527.4971262629315</v>
      </c>
      <c r="GE11" s="33">
        <v>3.5285963179249487E-2</v>
      </c>
      <c r="GF11" s="39">
        <v>5610.9292758182582</v>
      </c>
      <c r="GG11" s="33">
        <v>4.7678189896437517E-2</v>
      </c>
      <c r="GH11" s="39">
        <v>1340.3732833202198</v>
      </c>
      <c r="GI11" s="33">
        <v>1.5919005074092406E-2</v>
      </c>
      <c r="GJ11" s="39">
        <v>1100.9150281323734</v>
      </c>
      <c r="GK11" s="33">
        <v>2.662853499344112E-2</v>
      </c>
      <c r="GL11" s="39">
        <v>3559.8251557868007</v>
      </c>
      <c r="GM11" s="33">
        <v>2.637763188328426E-2</v>
      </c>
      <c r="GN11" s="39">
        <v>2312.2867989594047</v>
      </c>
      <c r="GO11" s="33">
        <v>3.3376199398308153E-2</v>
      </c>
      <c r="GP11" s="39">
        <v>2248.5812813842335</v>
      </c>
      <c r="GQ11" s="33">
        <v>4.0656522080377649E-2</v>
      </c>
      <c r="GR11" s="39">
        <v>2004.053481759332</v>
      </c>
      <c r="GS11" s="33">
        <v>1.5660469467667307E-2</v>
      </c>
      <c r="GT11" s="39">
        <v>1365.4728053723757</v>
      </c>
      <c r="GU11" s="33">
        <v>3.9234917458111931E-2</v>
      </c>
      <c r="GV11" s="39">
        <v>1113.7999879000545</v>
      </c>
      <c r="GW11" s="33">
        <v>2.0275218748795436E-2</v>
      </c>
      <c r="GX11" s="39">
        <v>1086.5751104120031</v>
      </c>
      <c r="GY11" s="33">
        <v>3.1943369883235963E-2</v>
      </c>
      <c r="GZ11" s="39">
        <v>897.3376489805795</v>
      </c>
      <c r="HA11" s="33">
        <v>2.5322107885732706E-2</v>
      </c>
    </row>
    <row r="12" spans="1:209" ht="41.25" thickBot="1" x14ac:dyDescent="0.35">
      <c r="A12" s="147" t="s">
        <v>217</v>
      </c>
      <c r="B12" s="37" t="s">
        <v>219</v>
      </c>
      <c r="C12" s="38"/>
      <c r="D12" s="39">
        <v>2222.8197410611651</v>
      </c>
      <c r="E12" s="33">
        <v>8.1170931593648576E-2</v>
      </c>
      <c r="F12" s="22">
        <v>1324.2755157601791</v>
      </c>
      <c r="G12" s="35">
        <v>1.8139980238158125E-2</v>
      </c>
      <c r="H12" s="22">
        <v>928.41823461794422</v>
      </c>
      <c r="I12" s="35">
        <v>2.3748995315392252E-2</v>
      </c>
      <c r="J12" s="39">
        <v>854.03757033093348</v>
      </c>
      <c r="K12" s="33">
        <v>2.0216084991298469E-2</v>
      </c>
      <c r="L12" s="39">
        <v>0</v>
      </c>
      <c r="M12" s="33">
        <v>0</v>
      </c>
      <c r="N12" s="39">
        <v>218.68231592957829</v>
      </c>
      <c r="O12" s="33">
        <v>5.6091755609521217E-3</v>
      </c>
      <c r="P12" s="39">
        <v>3535.6366878174422</v>
      </c>
      <c r="Q12" s="33">
        <v>8.2437532797869181E-2</v>
      </c>
      <c r="R12" s="39">
        <v>682.82264504809723</v>
      </c>
      <c r="S12" s="33">
        <v>9.8381799805908211E-3</v>
      </c>
      <c r="T12" s="39">
        <v>453.74795813418837</v>
      </c>
      <c r="U12" s="33">
        <v>6.7057870061169415E-3</v>
      </c>
      <c r="V12" s="39">
        <v>324.93798777905499</v>
      </c>
      <c r="W12" s="33">
        <v>7.2024804694219759E-3</v>
      </c>
      <c r="X12" s="39">
        <v>2182.5851533668097</v>
      </c>
      <c r="Y12" s="33">
        <v>7.6539674618945341E-2</v>
      </c>
      <c r="Z12" s="39">
        <v>420.19810635852133</v>
      </c>
      <c r="AA12" s="33">
        <v>1.8205864459157606E-2</v>
      </c>
      <c r="AB12" s="39">
        <v>1367.393217980519</v>
      </c>
      <c r="AC12" s="33">
        <v>8.3536063459352869E-3</v>
      </c>
      <c r="AD12" s="39">
        <v>596.92416359126378</v>
      </c>
      <c r="AE12" s="33">
        <v>2.5002214177058637E-2</v>
      </c>
      <c r="AF12" s="39">
        <v>197.61640147619335</v>
      </c>
      <c r="AG12" s="33">
        <v>8.8118935624533941E-3</v>
      </c>
      <c r="AH12" s="39">
        <v>1744.0432270554782</v>
      </c>
      <c r="AI12" s="33">
        <v>3.4900143571293354E-2</v>
      </c>
      <c r="AJ12" s="39">
        <v>1073.6798051908766</v>
      </c>
      <c r="AK12" s="33">
        <v>0.10031191259523171</v>
      </c>
      <c r="AL12" s="39">
        <v>0</v>
      </c>
      <c r="AM12" s="33">
        <v>0</v>
      </c>
      <c r="AN12" s="39">
        <v>0</v>
      </c>
      <c r="AO12" s="33">
        <v>0</v>
      </c>
      <c r="AP12" s="39">
        <v>89.29248593381331</v>
      </c>
      <c r="AQ12" s="33">
        <v>2.9525395268153293E-3</v>
      </c>
      <c r="AR12" s="39">
        <v>1495.8107871014581</v>
      </c>
      <c r="AS12" s="33">
        <v>2.0187845710566456E-2</v>
      </c>
      <c r="AT12" s="39">
        <v>362.99836650735068</v>
      </c>
      <c r="AU12" s="33">
        <v>8.7726320198875576E-3</v>
      </c>
      <c r="AV12" s="39">
        <v>3444.0048399782199</v>
      </c>
      <c r="AW12" s="33">
        <v>6.1331439083987839E-2</v>
      </c>
      <c r="AX12" s="39">
        <v>16408.46878214048</v>
      </c>
      <c r="AY12" s="33">
        <v>0.11731876861409529</v>
      </c>
      <c r="AZ12" s="39">
        <v>1685.1594167826245</v>
      </c>
      <c r="BA12" s="33">
        <v>3.6137416893444504E-2</v>
      </c>
      <c r="BB12" s="39">
        <v>3549.4085546615038</v>
      </c>
      <c r="BC12" s="33">
        <v>5.55480067175338E-2</v>
      </c>
      <c r="BD12" s="39">
        <v>4626.6803799382897</v>
      </c>
      <c r="BE12" s="33">
        <v>8.7280214199138548E-2</v>
      </c>
      <c r="BF12" s="39">
        <v>2223.5505475225364</v>
      </c>
      <c r="BG12" s="33">
        <v>0.10025303896738341</v>
      </c>
      <c r="BH12" s="39">
        <v>1427.8677778449996</v>
      </c>
      <c r="BI12" s="33">
        <v>2.7916479277919973E-2</v>
      </c>
      <c r="BJ12" s="39">
        <v>109.30364813358339</v>
      </c>
      <c r="BK12" s="33">
        <v>2.0688051999732679E-3</v>
      </c>
      <c r="BL12" s="39">
        <v>253.6798354407405</v>
      </c>
      <c r="BM12" s="33">
        <v>8.3861906605518909E-3</v>
      </c>
      <c r="BN12" s="39">
        <v>958.78788795450407</v>
      </c>
      <c r="BO12" s="33">
        <v>3.6933152420495358E-2</v>
      </c>
      <c r="BP12" s="39">
        <v>117.93211930546313</v>
      </c>
      <c r="BQ12" s="33">
        <v>2.4497347555442954E-3</v>
      </c>
      <c r="BR12" s="39">
        <v>707.03384959767675</v>
      </c>
      <c r="BS12" s="33">
        <v>9.8770984627678127E-3</v>
      </c>
      <c r="BT12" s="39">
        <v>6765.4126383931271</v>
      </c>
      <c r="BU12" s="33">
        <v>4.519911566144285E-2</v>
      </c>
      <c r="BV12" s="39">
        <v>261.31623207695566</v>
      </c>
      <c r="BW12" s="33">
        <v>2.1700666696540258E-3</v>
      </c>
      <c r="BX12" s="39">
        <v>1486.7691330389014</v>
      </c>
      <c r="BY12" s="33">
        <v>9.1792860632147158E-2</v>
      </c>
      <c r="BZ12" s="39">
        <v>846.99618851715161</v>
      </c>
      <c r="CA12" s="33">
        <v>2.372877535197189E-2</v>
      </c>
      <c r="CB12" s="39">
        <v>576.45129771916027</v>
      </c>
      <c r="CC12" s="33">
        <v>8.8750003953419754E-3</v>
      </c>
      <c r="CD12" s="39">
        <v>262.39506322221553</v>
      </c>
      <c r="CE12" s="33">
        <v>1.0170796436308293E-2</v>
      </c>
      <c r="CF12" s="39">
        <v>3019.5533305100125</v>
      </c>
      <c r="CG12" s="33">
        <v>5.2474521220851819E-2</v>
      </c>
      <c r="CH12" s="39">
        <v>86.64017786919959</v>
      </c>
      <c r="CI12" s="33">
        <v>2.8703830004772738E-3</v>
      </c>
      <c r="CJ12" s="39">
        <v>2959.973380119789</v>
      </c>
      <c r="CK12" s="33">
        <v>1.284561544855564E-2</v>
      </c>
      <c r="CL12" s="39">
        <v>537.26172182225173</v>
      </c>
      <c r="CM12" s="33">
        <v>4.5141632947917803E-3</v>
      </c>
      <c r="CN12" s="39">
        <v>103.37413031641357</v>
      </c>
      <c r="CO12" s="33">
        <v>2.885196204337808E-3</v>
      </c>
      <c r="CP12" s="39">
        <v>213.99437352531913</v>
      </c>
      <c r="CQ12" s="33">
        <v>6.0387398428049114E-3</v>
      </c>
      <c r="CR12" s="39">
        <v>2530.8485389315747</v>
      </c>
      <c r="CS12" s="33">
        <v>0.16891396594738431</v>
      </c>
      <c r="CT12" s="39">
        <v>1126.0269223788493</v>
      </c>
      <c r="CU12" s="33">
        <v>1.2444814616646677E-2</v>
      </c>
      <c r="CV12" s="39">
        <v>12655.455925948334</v>
      </c>
      <c r="CW12" s="33">
        <v>5.3747731673047375E-2</v>
      </c>
      <c r="CX12" s="39">
        <v>780.11646197592108</v>
      </c>
      <c r="CY12" s="33">
        <v>1.2042920102046798E-2</v>
      </c>
      <c r="CZ12" s="39">
        <v>2563.3854135156394</v>
      </c>
      <c r="DA12" s="33">
        <v>0.17498582805181392</v>
      </c>
      <c r="DB12" s="39">
        <v>452.62217920019356</v>
      </c>
      <c r="DC12" s="33">
        <v>1.4787592347218478E-2</v>
      </c>
      <c r="DD12" s="39">
        <v>592.48293907677419</v>
      </c>
      <c r="DE12" s="33">
        <v>2.4547352664033448E-2</v>
      </c>
      <c r="DF12" s="39">
        <v>75.624659689031404</v>
      </c>
      <c r="DG12" s="33">
        <v>2.1429843749008874E-3</v>
      </c>
      <c r="DH12" s="39">
        <v>0</v>
      </c>
      <c r="DI12" s="33">
        <v>0</v>
      </c>
      <c r="DJ12" s="39">
        <v>14311.114837823985</v>
      </c>
      <c r="DK12" s="33">
        <v>0.20010237665060882</v>
      </c>
      <c r="DL12" s="39">
        <v>3414.4836348236431</v>
      </c>
      <c r="DM12" s="33">
        <v>3.2753909831860398E-2</v>
      </c>
      <c r="DN12" s="39">
        <v>4294.2759997580006</v>
      </c>
      <c r="DO12" s="33">
        <v>7.9633776451406457E-2</v>
      </c>
      <c r="DP12" s="39">
        <v>692.87615705729331</v>
      </c>
      <c r="DQ12" s="33">
        <v>1.2572502210675905E-2</v>
      </c>
      <c r="DR12" s="39">
        <v>4208.5092867082094</v>
      </c>
      <c r="DS12" s="33">
        <v>2.2645475575593873E-2</v>
      </c>
      <c r="DT12" s="39">
        <v>250.80676386956256</v>
      </c>
      <c r="DU12" s="33">
        <v>4.9946019646379342E-3</v>
      </c>
      <c r="DV12" s="39">
        <v>1513.7031883356524</v>
      </c>
      <c r="DW12" s="33">
        <v>1.8741937230682248E-2</v>
      </c>
      <c r="DX12" s="39">
        <v>304.7492286284712</v>
      </c>
      <c r="DY12" s="33">
        <v>1.1166194795256873E-2</v>
      </c>
      <c r="DZ12" s="39">
        <v>2833.6092020085912</v>
      </c>
      <c r="EA12" s="33">
        <v>5.0117495808569959E-2</v>
      </c>
      <c r="EB12" s="39">
        <v>698.25412910641899</v>
      </c>
      <c r="EC12" s="33">
        <v>7.6323279209924988E-3</v>
      </c>
      <c r="ED12" s="39">
        <v>373.59955230201462</v>
      </c>
      <c r="EE12" s="33">
        <v>1.1909184476249585E-2</v>
      </c>
      <c r="EF12" s="39">
        <v>661</v>
      </c>
      <c r="EG12" s="33" t="e">
        <f>EF12/$EM$69</f>
        <v>#DIV/0!</v>
      </c>
      <c r="EH12" s="39">
        <v>0</v>
      </c>
      <c r="EI12" s="33">
        <v>0</v>
      </c>
      <c r="EJ12" s="39">
        <v>1513.7031883356524</v>
      </c>
      <c r="EK12" s="33">
        <v>1.8741937230682248E-2</v>
      </c>
      <c r="EL12" s="39">
        <v>310.05599249803373</v>
      </c>
      <c r="EM12" s="33">
        <v>7.1348155560496821E-3</v>
      </c>
      <c r="EN12" s="39">
        <v>3508.9842095710569</v>
      </c>
      <c r="EO12" s="33">
        <v>9.3510938069331934E-3</v>
      </c>
      <c r="EP12" s="39">
        <v>90.840341218464516</v>
      </c>
      <c r="EQ12" s="33">
        <v>1.7699299026953542E-3</v>
      </c>
      <c r="ER12" s="39">
        <v>8049.3302075140664</v>
      </c>
      <c r="ES12" s="33">
        <v>0.10290443994009145</v>
      </c>
      <c r="ET12" s="39">
        <v>19669.416117127494</v>
      </c>
      <c r="EU12" s="33">
        <v>0.10070708443954837</v>
      </c>
      <c r="EV12" s="39">
        <v>2822.7337406981669</v>
      </c>
      <c r="EW12" s="33">
        <v>3.4651958114160178E-2</v>
      </c>
      <c r="EX12" s="39">
        <v>111.62199770101034</v>
      </c>
      <c r="EY12" s="33">
        <v>2.1106821106821106E-3</v>
      </c>
      <c r="EZ12" s="39">
        <v>301.29127593925824</v>
      </c>
      <c r="FA12" s="33">
        <v>4.6891471743483373E-3</v>
      </c>
      <c r="FB12" s="39">
        <v>1954.4360421910071</v>
      </c>
      <c r="FC12" s="33">
        <v>1.6395961597959526E-2</v>
      </c>
      <c r="FD12" s="39">
        <v>806.76386956258693</v>
      </c>
      <c r="FE12" s="33">
        <v>1.2982461264366139E-2</v>
      </c>
      <c r="FF12" s="39">
        <v>603.56346421441094</v>
      </c>
      <c r="FG12" s="33">
        <v>5.1242656719518772E-3</v>
      </c>
      <c r="FH12" s="39">
        <v>1507.0482182830176</v>
      </c>
      <c r="FI12" s="33">
        <v>5.0008532166266821E-2</v>
      </c>
      <c r="FJ12" s="39">
        <v>0</v>
      </c>
      <c r="FK12" s="33">
        <v>0</v>
      </c>
      <c r="FL12" s="39">
        <v>889.62732167705235</v>
      </c>
      <c r="FM12" s="33">
        <v>1.3395830476991279E-2</v>
      </c>
      <c r="FN12" s="39">
        <v>0</v>
      </c>
      <c r="FO12" s="33">
        <v>0</v>
      </c>
      <c r="FP12" s="39">
        <v>1026.2084820618306</v>
      </c>
      <c r="FQ12" s="36">
        <v>7.82126738081192E-3</v>
      </c>
      <c r="FR12" s="39">
        <v>0</v>
      </c>
      <c r="FS12" s="33">
        <v>0</v>
      </c>
      <c r="FT12" s="39">
        <v>1764.053481759332</v>
      </c>
      <c r="FU12" s="33">
        <v>3.1200471439568164E-2</v>
      </c>
      <c r="FV12" s="39">
        <v>1376.1325246536389</v>
      </c>
      <c r="FW12" s="33">
        <v>1.0567575940418896E-2</v>
      </c>
      <c r="FX12" s="39">
        <v>703.55835198741602</v>
      </c>
      <c r="FY12" s="33">
        <v>7.5094935754275718E-3</v>
      </c>
      <c r="FZ12" s="39">
        <v>7983.4170851231165</v>
      </c>
      <c r="GA12" s="33">
        <v>0.1023189159646451</v>
      </c>
      <c r="GB12" s="39">
        <v>19481.877064553209</v>
      </c>
      <c r="GC12" s="33">
        <v>0.10013339312178372</v>
      </c>
      <c r="GD12" s="39">
        <v>2793.2724302740635</v>
      </c>
      <c r="GE12" s="33">
        <v>2.1769932785273585E-2</v>
      </c>
      <c r="GF12" s="39">
        <v>531.15433480549336</v>
      </c>
      <c r="GG12" s="33">
        <v>4.5134194345158845E-3</v>
      </c>
      <c r="GH12" s="39">
        <v>180.25071087180106</v>
      </c>
      <c r="GI12" s="33">
        <v>2.1407558750120592E-3</v>
      </c>
      <c r="GJ12" s="39">
        <v>62.217920019359916</v>
      </c>
      <c r="GK12" s="33">
        <v>1.5049045731215479E-3</v>
      </c>
      <c r="GL12" s="39">
        <v>270.14035936838286</v>
      </c>
      <c r="GM12" s="33">
        <v>2.0016890280844129E-3</v>
      </c>
      <c r="GN12" s="39">
        <v>348.62835017242423</v>
      </c>
      <c r="GO12" s="33">
        <v>5.0321998709219433E-3</v>
      </c>
      <c r="GP12" s="39">
        <v>135.16849174178716</v>
      </c>
      <c r="GQ12" s="33">
        <v>2.4439769265037548E-3</v>
      </c>
      <c r="GR12" s="39">
        <v>12805.481424999998</v>
      </c>
      <c r="GS12" s="33">
        <v>0.10006711532415893</v>
      </c>
      <c r="GT12" s="39">
        <v>601.66979248593384</v>
      </c>
      <c r="GU12" s="33">
        <v>1.7288125074587091E-2</v>
      </c>
      <c r="GV12" s="39">
        <v>636.15463730413217</v>
      </c>
      <c r="GW12" s="33">
        <v>1.1580332707419013E-2</v>
      </c>
      <c r="GX12" s="39">
        <v>661.56452295964664</v>
      </c>
      <c r="GY12" s="33">
        <v>1.9448816796947949E-2</v>
      </c>
      <c r="GZ12" s="39">
        <v>213.99437352531913</v>
      </c>
      <c r="HA12" s="33">
        <v>6.0387398428049114E-3</v>
      </c>
    </row>
    <row r="13" spans="1:209" ht="40.5" x14ac:dyDescent="0.3">
      <c r="A13" s="147" t="s">
        <v>217</v>
      </c>
      <c r="B13" s="40" t="s">
        <v>220</v>
      </c>
      <c r="C13" s="41"/>
      <c r="D13" s="42">
        <v>7682.0657632040657</v>
      </c>
      <c r="E13" s="33">
        <v>0.2805267665408</v>
      </c>
      <c r="F13" s="22">
        <v>27596.276241756914</v>
      </c>
      <c r="G13" s="35">
        <v>0.37801492190608388</v>
      </c>
      <c r="H13" s="43">
        <v>11495.976314356585</v>
      </c>
      <c r="I13" s="35">
        <v>0.29406777835192471</v>
      </c>
      <c r="J13" s="42">
        <v>11529.633855647649</v>
      </c>
      <c r="K13" s="33">
        <v>0.27292014548494248</v>
      </c>
      <c r="L13" s="42">
        <v>5981.5536330086525</v>
      </c>
      <c r="M13" s="33">
        <v>0.39577497263935918</v>
      </c>
      <c r="N13" s="42">
        <v>11399.916359126382</v>
      </c>
      <c r="O13" s="33">
        <v>0.29240650743383273</v>
      </c>
      <c r="P13" s="42">
        <v>14492.326880029039</v>
      </c>
      <c r="Q13" s="33">
        <v>0.33790566678029743</v>
      </c>
      <c r="R13" s="42">
        <v>20114.868080343636</v>
      </c>
      <c r="S13" s="33">
        <v>0.28981712000240223</v>
      </c>
      <c r="T13" s="42">
        <v>20127.722487748808</v>
      </c>
      <c r="U13" s="33">
        <v>0.29746077641005703</v>
      </c>
      <c r="V13" s="42">
        <v>12523.104089781595</v>
      </c>
      <c r="W13" s="33">
        <v>0.27758346520112348</v>
      </c>
      <c r="X13" s="42">
        <v>9433.4200496097765</v>
      </c>
      <c r="Y13" s="33">
        <v>0.33081453890913626</v>
      </c>
      <c r="Z13" s="42">
        <v>6537.1188517151668</v>
      </c>
      <c r="AA13" s="33">
        <v>0.28323283224457302</v>
      </c>
      <c r="AB13" s="42">
        <v>54615.073234920441</v>
      </c>
      <c r="AC13" s="33">
        <v>0.33365151761740836</v>
      </c>
      <c r="AD13" s="42">
        <v>6450.9787948454232</v>
      </c>
      <c r="AE13" s="33">
        <v>0.2701997394610906</v>
      </c>
      <c r="AF13" s="42">
        <v>6169.5116159477302</v>
      </c>
      <c r="AG13" s="33">
        <v>0.27510408693784738</v>
      </c>
      <c r="AH13" s="42">
        <v>15340.742664408008</v>
      </c>
      <c r="AI13" s="33">
        <v>0.3069844331679939</v>
      </c>
      <c r="AJ13" s="42">
        <v>3053.4921350353925</v>
      </c>
      <c r="AK13" s="33">
        <v>0.28528210615402616</v>
      </c>
      <c r="AL13" s="42">
        <v>5881.0741121664951</v>
      </c>
      <c r="AM13" s="33">
        <v>0.38964266669931052</v>
      </c>
      <c r="AN13" s="42">
        <v>6925.648859580132</v>
      </c>
      <c r="AO13" s="33">
        <v>0.43150679767845729</v>
      </c>
      <c r="AP13" s="42">
        <v>10202.601458043438</v>
      </c>
      <c r="AQ13" s="33">
        <v>0.33735855560730621</v>
      </c>
      <c r="AR13" s="42">
        <v>24103.955109202008</v>
      </c>
      <c r="AS13" s="33">
        <v>0.3253131552165926</v>
      </c>
      <c r="AT13" s="42">
        <v>15205.699074354165</v>
      </c>
      <c r="AU13" s="33">
        <v>0.36747824478640656</v>
      </c>
      <c r="AV13" s="42">
        <v>21947.73150220824</v>
      </c>
      <c r="AW13" s="33">
        <v>0.3908490319275853</v>
      </c>
      <c r="AX13" s="42">
        <v>33346.143505354223</v>
      </c>
      <c r="AY13" s="33">
        <v>0.23842130219580016</v>
      </c>
      <c r="AZ13" s="42">
        <v>14793.665678504447</v>
      </c>
      <c r="BA13" s="33">
        <v>0.31724290217423246</v>
      </c>
      <c r="BB13" s="42">
        <v>18931.0791336439</v>
      </c>
      <c r="BC13" s="33">
        <v>0.29627012351247956</v>
      </c>
      <c r="BD13" s="42">
        <v>17091.233589448846</v>
      </c>
      <c r="BE13" s="33">
        <v>0.3224183228828319</v>
      </c>
      <c r="BF13" s="42">
        <v>6228.0449210478555</v>
      </c>
      <c r="BG13" s="33">
        <v>0.28080334438814764</v>
      </c>
      <c r="BH13" s="42">
        <v>14911.663409764657</v>
      </c>
      <c r="BI13" s="33">
        <v>0.29154039963439904</v>
      </c>
      <c r="BJ13" s="42">
        <v>16648.239941920263</v>
      </c>
      <c r="BK13" s="33">
        <v>0.31510352994032459</v>
      </c>
      <c r="BL13" s="42">
        <v>10347.907495916268</v>
      </c>
      <c r="BM13" s="33">
        <v>0.34208286617554023</v>
      </c>
      <c r="BN13" s="42">
        <v>9454.4273700768335</v>
      </c>
      <c r="BO13" s="33">
        <v>0.36419088256580057</v>
      </c>
      <c r="BP13" s="42">
        <v>17217.865569604939</v>
      </c>
      <c r="BQ13" s="33">
        <v>0.35765662442561369</v>
      </c>
      <c r="BR13" s="42">
        <v>24464.366900598943</v>
      </c>
      <c r="BS13" s="33">
        <v>0.34176151657235676</v>
      </c>
      <c r="BT13" s="42">
        <v>58596.667221247502</v>
      </c>
      <c r="BU13" s="33">
        <v>0.39147908348976923</v>
      </c>
      <c r="BV13" s="42">
        <v>37699.57187367657</v>
      </c>
      <c r="BW13" s="33">
        <v>0.31307119245160131</v>
      </c>
      <c r="BX13" s="42">
        <v>4268.416540625567</v>
      </c>
      <c r="BY13" s="33">
        <v>0.26353127457842013</v>
      </c>
      <c r="BZ13" s="42">
        <v>11821.041805311876</v>
      </c>
      <c r="CA13" s="33">
        <v>0.33116895828727055</v>
      </c>
      <c r="CB13" s="42">
        <v>30807.249954625204</v>
      </c>
      <c r="CC13" s="33">
        <v>0.47430608033759991</v>
      </c>
      <c r="CD13" s="42">
        <v>7812.1263536814085</v>
      </c>
      <c r="CE13" s="33">
        <v>0.30280884823935938</v>
      </c>
      <c r="CF13" s="42">
        <v>18075.453021961399</v>
      </c>
      <c r="CG13" s="33">
        <v>0.31411955324439278</v>
      </c>
      <c r="CH13" s="42">
        <v>10015.043136305885</v>
      </c>
      <c r="CI13" s="33">
        <v>0.331797674872024</v>
      </c>
      <c r="CJ13" s="42">
        <v>104751.01034545344</v>
      </c>
      <c r="CK13" s="33">
        <v>0.45459570879347327</v>
      </c>
      <c r="CL13" s="42">
        <v>36423.715863028614</v>
      </c>
      <c r="CM13" s="33">
        <v>0.30603818312447473</v>
      </c>
      <c r="CN13" s="42">
        <v>11771.084124871439</v>
      </c>
      <c r="CO13" s="33">
        <v>0.32853371664716868</v>
      </c>
      <c r="CP13" s="42">
        <v>10958.664468509893</v>
      </c>
      <c r="CQ13" s="33">
        <v>0.30924422291921333</v>
      </c>
      <c r="CR13" s="42">
        <v>5525.3139633371648</v>
      </c>
      <c r="CS13" s="33">
        <v>0.36877066339408238</v>
      </c>
      <c r="CT13" s="42">
        <v>25522.342670457983</v>
      </c>
      <c r="CU13" s="33">
        <v>0.28207213948790277</v>
      </c>
      <c r="CV13" s="42">
        <v>82942.162895516973</v>
      </c>
      <c r="CW13" s="33">
        <v>0.35225543368611406</v>
      </c>
      <c r="CX13" s="42">
        <v>20484.669641236615</v>
      </c>
      <c r="CY13" s="33">
        <v>0.31622873228619375</v>
      </c>
      <c r="CZ13" s="42">
        <v>4521.6116824974279</v>
      </c>
      <c r="DA13" s="33">
        <v>0.30866133520882683</v>
      </c>
      <c r="DB13" s="42">
        <v>10062.515518180166</v>
      </c>
      <c r="DC13" s="33">
        <v>0.32875184714400441</v>
      </c>
      <c r="DD13" s="42">
        <v>7344.6162199770097</v>
      </c>
      <c r="DE13" s="33">
        <v>0.30429717489366181</v>
      </c>
      <c r="DF13" s="42">
        <v>10929.741666162503</v>
      </c>
      <c r="DG13" s="33">
        <v>0.30971730264442565</v>
      </c>
      <c r="DH13" s="42">
        <v>7964.0656724544733</v>
      </c>
      <c r="DI13" s="33">
        <v>0.3664463386874332</v>
      </c>
      <c r="DJ13" s="42">
        <v>17167.764020811905</v>
      </c>
      <c r="DK13" s="33">
        <v>0.24004491762317626</v>
      </c>
      <c r="DL13" s="42">
        <v>30227.478976344606</v>
      </c>
      <c r="DM13" s="33">
        <v>0.2899613021243207</v>
      </c>
      <c r="DN13" s="42">
        <v>18526.720703006835</v>
      </c>
      <c r="DO13" s="33">
        <v>0.34356262497427559</v>
      </c>
      <c r="DP13" s="42">
        <v>21415.633129650916</v>
      </c>
      <c r="DQ13" s="33">
        <v>0.38859483346790413</v>
      </c>
      <c r="DR13" s="42">
        <v>74766.706999818503</v>
      </c>
      <c r="DS13" s="33">
        <v>0.40231053845583775</v>
      </c>
      <c r="DT13" s="42">
        <v>16250.28652671063</v>
      </c>
      <c r="DU13" s="33">
        <v>0.32361054287375279</v>
      </c>
      <c r="DV13" s="42">
        <v>28678.443947002237</v>
      </c>
      <c r="DW13" s="33">
        <v>0.35508255546408402</v>
      </c>
      <c r="DX13" s="42">
        <v>8265.7359791880936</v>
      </c>
      <c r="DY13" s="33">
        <v>0.30286153138159161</v>
      </c>
      <c r="DZ13" s="42">
        <v>16618.939228023472</v>
      </c>
      <c r="EA13" s="33">
        <v>0.29393595154651109</v>
      </c>
      <c r="EB13" s="42">
        <v>31724.314447334986</v>
      </c>
      <c r="EC13" s="33">
        <v>0.34676539792267824</v>
      </c>
      <c r="ED13" s="42">
        <v>11767.990199044105</v>
      </c>
      <c r="EE13" s="33">
        <v>0.3751266973730728</v>
      </c>
      <c r="EF13" s="42">
        <v>35161</v>
      </c>
      <c r="EG13" s="33" t="e">
        <f>EF13/$EM$69</f>
        <v>#DIV/0!</v>
      </c>
      <c r="EH13" s="42">
        <v>10584.982636578135</v>
      </c>
      <c r="EI13" s="33">
        <v>0.44234416949285299</v>
      </c>
      <c r="EJ13" s="42">
        <v>28678.443947002237</v>
      </c>
      <c r="EK13" s="33">
        <v>0.35508255546408402</v>
      </c>
      <c r="EL13" s="42">
        <v>15149.271643777603</v>
      </c>
      <c r="EM13" s="33">
        <v>0.3486056118961553</v>
      </c>
      <c r="EN13" s="42">
        <v>146487.99080404139</v>
      </c>
      <c r="EO13" s="33">
        <v>0.39037592128840243</v>
      </c>
      <c r="EP13" s="42">
        <v>17109.321525803134</v>
      </c>
      <c r="EQ13" s="33">
        <v>0.33335739801462777</v>
      </c>
      <c r="ER13" s="42">
        <v>20825.148345332444</v>
      </c>
      <c r="ES13" s="33">
        <v>0.26623336003103243</v>
      </c>
      <c r="ET13" s="42">
        <v>52302.633038901324</v>
      </c>
      <c r="EU13" s="33">
        <v>0.26778861408462451</v>
      </c>
      <c r="EV13" s="42">
        <v>30031.426311331605</v>
      </c>
      <c r="EW13" s="33">
        <v>0.36866662683932766</v>
      </c>
      <c r="EX13" s="42">
        <v>17523.141145864844</v>
      </c>
      <c r="EY13" s="33">
        <v>0.33134849134849131</v>
      </c>
      <c r="EZ13" s="42">
        <v>19183.040474317866</v>
      </c>
      <c r="FA13" s="33">
        <v>0.29855527597052689</v>
      </c>
      <c r="FB13" s="42">
        <v>36253.09153608809</v>
      </c>
      <c r="FC13" s="33">
        <v>0.30413085094698672</v>
      </c>
      <c r="FD13" s="42">
        <v>18753.705608324763</v>
      </c>
      <c r="FE13" s="33">
        <v>0.30178502757616915</v>
      </c>
      <c r="FF13" s="42">
        <v>42057.309123358944</v>
      </c>
      <c r="FG13" s="33">
        <v>0.35706738093566509</v>
      </c>
      <c r="FH13" s="42">
        <v>7665.6543045556291</v>
      </c>
      <c r="FI13" s="33">
        <v>0.25437017556186825</v>
      </c>
      <c r="FJ13" s="42">
        <v>8917.3573718918269</v>
      </c>
      <c r="FK13" s="33">
        <v>0.33771336922900674</v>
      </c>
      <c r="FL13" s="42">
        <v>21410.505777724004</v>
      </c>
      <c r="FM13" s="33">
        <v>0.32239511853610742</v>
      </c>
      <c r="FN13" s="42">
        <v>2601.9390162744266</v>
      </c>
      <c r="FO13" s="33">
        <v>0.45706146571224676</v>
      </c>
      <c r="FP13" s="42">
        <v>38281.916631375156</v>
      </c>
      <c r="FQ13" s="36">
        <v>0.29176635260543066</v>
      </c>
      <c r="FR13" s="42">
        <v>1422.6450480972837</v>
      </c>
      <c r="FS13" s="33">
        <v>0.55912574854570807</v>
      </c>
      <c r="FT13" s="42">
        <v>17688.494948272732</v>
      </c>
      <c r="FU13" s="33">
        <v>0.31285297591551298</v>
      </c>
      <c r="FV13" s="42">
        <v>41968.739851170663</v>
      </c>
      <c r="FW13" s="33">
        <v>0.32228570835687359</v>
      </c>
      <c r="FX13" s="42">
        <v>35744.085576864905</v>
      </c>
      <c r="FY13" s="33">
        <v>0.38151772378334492</v>
      </c>
      <c r="FZ13" s="42">
        <v>19542.927733075201</v>
      </c>
      <c r="GA13" s="33">
        <v>0.25047058911025394</v>
      </c>
      <c r="GB13" s="42">
        <v>51838.756125597436</v>
      </c>
      <c r="GC13" s="33">
        <v>0.26644201320381167</v>
      </c>
      <c r="GD13" s="42">
        <v>34557.141992861034</v>
      </c>
      <c r="GE13" s="33">
        <v>0.26932806491843936</v>
      </c>
      <c r="GF13" s="42">
        <v>40805.136426886078</v>
      </c>
      <c r="GG13" s="33">
        <v>0.3467366897130234</v>
      </c>
      <c r="GH13" s="42">
        <v>26957.697350111925</v>
      </c>
      <c r="GI13" s="33">
        <v>0.32016433499723534</v>
      </c>
      <c r="GJ13" s="42">
        <v>14479.40861516123</v>
      </c>
      <c r="GK13" s="33">
        <v>0.35022270487781321</v>
      </c>
      <c r="GL13" s="42">
        <v>47072.297174662715</v>
      </c>
      <c r="GM13" s="33">
        <v>0.34879682918005039</v>
      </c>
      <c r="GN13" s="42">
        <v>21079.426311331597</v>
      </c>
      <c r="GO13" s="33">
        <v>0.30426638083371182</v>
      </c>
      <c r="GP13" s="42">
        <v>19484.360820376307</v>
      </c>
      <c r="GQ13" s="33">
        <v>0.352296068847471</v>
      </c>
      <c r="GR13" s="42">
        <v>35645.229596466816</v>
      </c>
      <c r="GS13" s="33">
        <v>0.27854597436861056</v>
      </c>
      <c r="GT13" s="42">
        <v>10509.849355677899</v>
      </c>
      <c r="GU13" s="33">
        <v>0.30198556159070572</v>
      </c>
      <c r="GV13" s="42">
        <v>21388.468751890618</v>
      </c>
      <c r="GW13" s="33">
        <v>0.38934807627711304</v>
      </c>
      <c r="GX13" s="42">
        <v>10954.685703914332</v>
      </c>
      <c r="GY13" s="33">
        <v>0.32204821741411666</v>
      </c>
      <c r="GZ13" s="42">
        <v>10958.664468509893</v>
      </c>
      <c r="HA13" s="33">
        <v>0.30924422291921333</v>
      </c>
    </row>
    <row r="14" spans="1:209" ht="17.25" thickBot="1" x14ac:dyDescent="0.35">
      <c r="A14" s="148" t="s">
        <v>221</v>
      </c>
      <c r="B14" s="149"/>
      <c r="C14" s="150"/>
      <c r="D14" s="44">
        <v>27384.430576562401</v>
      </c>
      <c r="E14" s="45">
        <v>1.0000000000000002</v>
      </c>
      <c r="F14" s="46">
        <v>73003.139935870277</v>
      </c>
      <c r="G14" s="47">
        <v>1</v>
      </c>
      <c r="H14" s="46">
        <v>39092.947818984816</v>
      </c>
      <c r="I14" s="47">
        <v>1</v>
      </c>
      <c r="J14" s="44">
        <v>42245.448151733312</v>
      </c>
      <c r="K14" s="45">
        <v>1</v>
      </c>
      <c r="L14" s="44">
        <v>15113.5216891524</v>
      </c>
      <c r="M14" s="45">
        <v>1</v>
      </c>
      <c r="N14" s="44">
        <v>38986.53439409523</v>
      </c>
      <c r="O14" s="45">
        <v>1</v>
      </c>
      <c r="P14" s="44">
        <v>42888.676647887623</v>
      </c>
      <c r="Q14" s="45">
        <v>0.99999999999999989</v>
      </c>
      <c r="R14" s="44">
        <v>69405.382539778569</v>
      </c>
      <c r="S14" s="45">
        <v>1</v>
      </c>
      <c r="T14" s="44">
        <v>67665.131284409232</v>
      </c>
      <c r="U14" s="45">
        <v>0.99999999999999978</v>
      </c>
      <c r="V14" s="44">
        <v>45114.733619698716</v>
      </c>
      <c r="W14" s="45">
        <v>0.99999999999999978</v>
      </c>
      <c r="X14" s="44">
        <v>28515.735979188095</v>
      </c>
      <c r="Y14" s="45">
        <v>0.99999999999999989</v>
      </c>
      <c r="Z14" s="44">
        <v>23080.371014580436</v>
      </c>
      <c r="AA14" s="45">
        <v>0.99999999999999978</v>
      </c>
      <c r="AB14" s="44">
        <v>163688.96993163531</v>
      </c>
      <c r="AC14" s="45">
        <v>1</v>
      </c>
      <c r="AD14" s="44">
        <v>23874.852017665915</v>
      </c>
      <c r="AE14" s="45">
        <v>1.0000000000000002</v>
      </c>
      <c r="AF14" s="44">
        <v>22426.099461552425</v>
      </c>
      <c r="AG14" s="45">
        <v>1</v>
      </c>
      <c r="AH14" s="44">
        <v>49972.379726541229</v>
      </c>
      <c r="AI14" s="45">
        <v>1</v>
      </c>
      <c r="AJ14" s="44">
        <v>10703.412759392582</v>
      </c>
      <c r="AK14" s="45">
        <v>1</v>
      </c>
      <c r="AL14" s="44">
        <v>15093.506473470869</v>
      </c>
      <c r="AM14" s="45">
        <v>1</v>
      </c>
      <c r="AN14" s="44">
        <v>16049.918325367533</v>
      </c>
      <c r="AO14" s="45">
        <v>1.0000000000000002</v>
      </c>
      <c r="AP14" s="44">
        <v>30242.6047552786</v>
      </c>
      <c r="AQ14" s="45">
        <v>0.99999999999999989</v>
      </c>
      <c r="AR14" s="44">
        <v>74094.621513703198</v>
      </c>
      <c r="AS14" s="45">
        <v>1</v>
      </c>
      <c r="AT14" s="44">
        <v>41378.501421743596</v>
      </c>
      <c r="AU14" s="45">
        <v>1</v>
      </c>
      <c r="AV14" s="44">
        <v>56153.987113557989</v>
      </c>
      <c r="AW14" s="45">
        <v>1</v>
      </c>
      <c r="AX14" s="44">
        <v>139862.26565430453</v>
      </c>
      <c r="AY14" s="45">
        <v>1</v>
      </c>
      <c r="AZ14" s="44">
        <v>46631.983181075688</v>
      </c>
      <c r="BA14" s="45">
        <v>1</v>
      </c>
      <c r="BB14" s="44">
        <v>63898.03639058624</v>
      </c>
      <c r="BC14" s="45">
        <v>1</v>
      </c>
      <c r="BD14" s="44">
        <v>53009.498457256937</v>
      </c>
      <c r="BE14" s="45">
        <v>1</v>
      </c>
      <c r="BF14" s="44">
        <v>22179.382993526531</v>
      </c>
      <c r="BG14" s="45">
        <v>1</v>
      </c>
      <c r="BH14" s="44">
        <v>51147.84581644382</v>
      </c>
      <c r="BI14" s="45">
        <v>1</v>
      </c>
      <c r="BJ14" s="44">
        <v>52834.190543892561</v>
      </c>
      <c r="BK14" s="45">
        <v>1</v>
      </c>
      <c r="BL14" s="44">
        <v>30249.709994555022</v>
      </c>
      <c r="BM14" s="45">
        <v>1</v>
      </c>
      <c r="BN14" s="44">
        <v>25960.088027103877</v>
      </c>
      <c r="BO14" s="45">
        <v>1</v>
      </c>
      <c r="BP14" s="44">
        <v>48140.770766531554</v>
      </c>
      <c r="BQ14" s="45">
        <v>1</v>
      </c>
      <c r="BR14" s="44">
        <v>71583.152913061873</v>
      </c>
      <c r="BS14" s="45">
        <v>1</v>
      </c>
      <c r="BT14" s="44">
        <v>149680.19925585334</v>
      </c>
      <c r="BU14" s="45">
        <v>1</v>
      </c>
      <c r="BV14" s="44">
        <v>120418.52710387803</v>
      </c>
      <c r="BW14" s="45">
        <v>0.99999999999999989</v>
      </c>
      <c r="BX14" s="44">
        <v>16197.001845241695</v>
      </c>
      <c r="BY14" s="45">
        <v>1</v>
      </c>
      <c r="BZ14" s="44">
        <v>35694.896847964184</v>
      </c>
      <c r="CA14" s="45">
        <v>1</v>
      </c>
      <c r="CB14" s="44">
        <v>64952.256004597977</v>
      </c>
      <c r="CC14" s="45">
        <v>1</v>
      </c>
      <c r="CD14" s="44">
        <v>25798.870802831385</v>
      </c>
      <c r="CE14" s="45">
        <v>1</v>
      </c>
      <c r="CF14" s="44">
        <v>57543.227841974702</v>
      </c>
      <c r="CG14" s="45">
        <v>1</v>
      </c>
      <c r="CH14" s="44">
        <v>30184.187216407521</v>
      </c>
      <c r="CI14" s="45">
        <v>1.0000000000000002</v>
      </c>
      <c r="CJ14" s="44">
        <v>230426.74692963879</v>
      </c>
      <c r="CK14" s="45">
        <v>1.0000000000000002</v>
      </c>
      <c r="CL14" s="44">
        <v>119016.90008469962</v>
      </c>
      <c r="CM14" s="45">
        <v>1</v>
      </c>
      <c r="CN14" s="44">
        <v>35829.150946820737</v>
      </c>
      <c r="CO14" s="45">
        <v>1</v>
      </c>
      <c r="CP14" s="44">
        <v>35436.925434085548</v>
      </c>
      <c r="CQ14" s="45">
        <v>1</v>
      </c>
      <c r="CR14" s="44">
        <v>14983.06267771795</v>
      </c>
      <c r="CS14" s="45">
        <v>1</v>
      </c>
      <c r="CT14" s="44">
        <v>90481.614798233408</v>
      </c>
      <c r="CU14" s="45">
        <v>0.99999999999999989</v>
      </c>
      <c r="CV14" s="44">
        <v>235460.27956924192</v>
      </c>
      <c r="CW14" s="45">
        <v>1</v>
      </c>
      <c r="CX14" s="44">
        <v>64778.01524593139</v>
      </c>
      <c r="CY14" s="45">
        <v>1</v>
      </c>
      <c r="CZ14" s="44">
        <v>14649.102970536631</v>
      </c>
      <c r="DA14" s="45">
        <v>1</v>
      </c>
      <c r="DB14" s="44">
        <v>30608.240244418899</v>
      </c>
      <c r="DC14" s="45">
        <v>1</v>
      </c>
      <c r="DD14" s="44">
        <v>24136.327333777001</v>
      </c>
      <c r="DE14" s="45">
        <v>0.99999999999999989</v>
      </c>
      <c r="DF14" s="44">
        <v>35289.412547643529</v>
      </c>
      <c r="DG14" s="45">
        <v>1</v>
      </c>
      <c r="DH14" s="44">
        <v>21733.238489926793</v>
      </c>
      <c r="DI14" s="45">
        <v>1</v>
      </c>
      <c r="DJ14" s="44">
        <v>71518.964828749042</v>
      </c>
      <c r="DK14" s="45">
        <v>0.99999999999999978</v>
      </c>
      <c r="DL14" s="44">
        <v>104246.59689031399</v>
      </c>
      <c r="DM14" s="45">
        <v>1</v>
      </c>
      <c r="DN14" s="44">
        <v>53925.308972109618</v>
      </c>
      <c r="DO14" s="45">
        <v>1</v>
      </c>
      <c r="DP14" s="44">
        <v>55110.442253009867</v>
      </c>
      <c r="DQ14" s="45">
        <v>0.99999999999999989</v>
      </c>
      <c r="DR14" s="44">
        <v>185843.27243027405</v>
      </c>
      <c r="DS14" s="45">
        <v>1</v>
      </c>
      <c r="DT14" s="44">
        <v>50215.565853953667</v>
      </c>
      <c r="DU14" s="45">
        <v>0.99999999999999989</v>
      </c>
      <c r="DV14" s="44">
        <v>80765.567065158204</v>
      </c>
      <c r="DW14" s="45">
        <v>1</v>
      </c>
      <c r="DX14" s="44">
        <v>27292.128985419564</v>
      </c>
      <c r="DY14" s="45">
        <v>1</v>
      </c>
      <c r="DZ14" s="44">
        <v>56539.321374553823</v>
      </c>
      <c r="EA14" s="45">
        <v>0.99999999999999978</v>
      </c>
      <c r="EB14" s="44">
        <v>91486.390041744802</v>
      </c>
      <c r="EC14" s="45">
        <v>0.99999999999999989</v>
      </c>
      <c r="ED14" s="44">
        <v>31370.708300562641</v>
      </c>
      <c r="EE14" s="45">
        <v>1</v>
      </c>
      <c r="EF14" s="44">
        <f>SUM(EF10:EF13)</f>
        <v>96640</v>
      </c>
      <c r="EG14" s="45" t="e">
        <f>EF14/$EM$69</f>
        <v>#DIV/0!</v>
      </c>
      <c r="EH14" s="44">
        <v>23929.291638937626</v>
      </c>
      <c r="EI14" s="45">
        <v>1</v>
      </c>
      <c r="EJ14" s="44">
        <v>80765.567065158204</v>
      </c>
      <c r="EK14" s="45">
        <v>1</v>
      </c>
      <c r="EL14" s="44">
        <v>43456.763536814084</v>
      </c>
      <c r="EM14" s="45">
        <v>1</v>
      </c>
      <c r="EN14" s="44">
        <v>375248.53049483756</v>
      </c>
      <c r="EO14" s="45">
        <v>1</v>
      </c>
      <c r="EP14" s="44">
        <v>51324.259271583272</v>
      </c>
      <c r="EQ14" s="45">
        <v>1</v>
      </c>
      <c r="ER14" s="44">
        <v>78221.408252162859</v>
      </c>
      <c r="ES14" s="45">
        <v>1.0000000000000002</v>
      </c>
      <c r="ET14" s="44">
        <v>195313.13240365419</v>
      </c>
      <c r="EU14" s="45">
        <v>1</v>
      </c>
      <c r="EV14" s="44">
        <v>81459.573839917721</v>
      </c>
      <c r="EW14" s="45">
        <v>1</v>
      </c>
      <c r="EX14" s="44">
        <v>52884.32452053966</v>
      </c>
      <c r="EY14" s="45">
        <v>1</v>
      </c>
      <c r="EZ14" s="44">
        <v>64252.893913727385</v>
      </c>
      <c r="FA14" s="45">
        <v>1</v>
      </c>
      <c r="FB14" s="44">
        <v>119202.28225188307</v>
      </c>
      <c r="FC14" s="45">
        <v>1</v>
      </c>
      <c r="FD14" s="44">
        <v>62142.597858309629</v>
      </c>
      <c r="FE14" s="45">
        <v>1</v>
      </c>
      <c r="FF14" s="44">
        <v>117785.35752314114</v>
      </c>
      <c r="FG14" s="45">
        <v>1</v>
      </c>
      <c r="FH14" s="44">
        <v>30135.8218888015</v>
      </c>
      <c r="FI14" s="45">
        <v>1</v>
      </c>
      <c r="FJ14" s="44">
        <v>26405.106177022204</v>
      </c>
      <c r="FK14" s="45">
        <v>1</v>
      </c>
      <c r="FL14" s="44">
        <v>66410.762901566952</v>
      </c>
      <c r="FM14" s="45">
        <v>0.99999999999999978</v>
      </c>
      <c r="FN14" s="44">
        <v>5692.7551576017904</v>
      </c>
      <c r="FO14" s="45">
        <v>1</v>
      </c>
      <c r="FP14" s="44">
        <v>131207.44146651341</v>
      </c>
      <c r="FQ14" s="48">
        <v>1</v>
      </c>
      <c r="FR14" s="44">
        <v>2544.4098251557871</v>
      </c>
      <c r="FS14" s="45">
        <v>1</v>
      </c>
      <c r="FT14" s="44">
        <v>56539.321374553816</v>
      </c>
      <c r="FU14" s="45">
        <v>1</v>
      </c>
      <c r="FV14" s="44">
        <v>130222.15618912215</v>
      </c>
      <c r="FW14" s="45">
        <v>1</v>
      </c>
      <c r="FX14" s="44">
        <v>93689.18754915602</v>
      </c>
      <c r="FY14" s="45">
        <v>1</v>
      </c>
      <c r="FZ14" s="44">
        <v>78024.840371468337</v>
      </c>
      <c r="GA14" s="45">
        <v>0.99999999999999978</v>
      </c>
      <c r="GB14" s="44">
        <v>194559.24199891099</v>
      </c>
      <c r="GC14" s="45">
        <v>1</v>
      </c>
      <c r="GD14" s="44">
        <v>128308.7301107145</v>
      </c>
      <c r="GE14" s="45">
        <v>1</v>
      </c>
      <c r="GF14" s="44">
        <v>117683.35349990925</v>
      </c>
      <c r="GG14" s="45">
        <v>1</v>
      </c>
      <c r="GH14" s="44">
        <v>84199.563796962917</v>
      </c>
      <c r="GI14" s="45">
        <v>1</v>
      </c>
      <c r="GJ14" s="44">
        <v>41343.432089055597</v>
      </c>
      <c r="GK14" s="45">
        <v>1</v>
      </c>
      <c r="GL14" s="44">
        <v>134956.20727206726</v>
      </c>
      <c r="GM14" s="45">
        <v>1</v>
      </c>
      <c r="GN14" s="44">
        <v>69690.65557504991</v>
      </c>
      <c r="GO14" s="45">
        <v>1.0059345656077145</v>
      </c>
      <c r="GP14" s="44">
        <v>55306.778994494525</v>
      </c>
      <c r="GQ14" s="45">
        <v>0.99999999999999989</v>
      </c>
      <c r="GR14" s="44">
        <v>127968.92748949269</v>
      </c>
      <c r="GS14" s="45">
        <v>1</v>
      </c>
      <c r="GT14" s="44">
        <v>34802.48956379696</v>
      </c>
      <c r="GU14" s="45">
        <v>1</v>
      </c>
      <c r="GV14" s="44">
        <v>54934.055296751161</v>
      </c>
      <c r="GW14" s="45">
        <v>1</v>
      </c>
      <c r="GX14" s="44">
        <v>34015.669429487563</v>
      </c>
      <c r="GY14" s="45">
        <v>1.0000000000000002</v>
      </c>
      <c r="GZ14" s="44">
        <v>35436.925434085548</v>
      </c>
      <c r="HA14" s="45">
        <v>1</v>
      </c>
    </row>
    <row r="15" spans="1:209" x14ac:dyDescent="0.3">
      <c r="A15" s="163" t="s">
        <v>453</v>
      </c>
      <c r="B15" s="50"/>
      <c r="C15" s="37" t="s">
        <v>113</v>
      </c>
      <c r="D15" s="32">
        <v>10372287147</v>
      </c>
      <c r="E15" s="51">
        <v>641567.13212747127</v>
      </c>
      <c r="F15" s="34">
        <v>16961244152</v>
      </c>
      <c r="G15" s="52">
        <v>397328.58109902544</v>
      </c>
      <c r="H15" s="34">
        <v>9443893084</v>
      </c>
      <c r="I15" s="52">
        <v>370451.24421410856</v>
      </c>
      <c r="J15" s="32">
        <v>9582192982</v>
      </c>
      <c r="K15" s="51">
        <v>339511.14850527659</v>
      </c>
      <c r="L15" s="32">
        <v>5210914836</v>
      </c>
      <c r="M15" s="51">
        <v>672801.53355851385</v>
      </c>
      <c r="N15" s="32">
        <v>8996409633</v>
      </c>
      <c r="O15" s="51">
        <v>337153.88062956871</v>
      </c>
      <c r="P15" s="32">
        <v>15668785960</v>
      </c>
      <c r="Q15" s="51">
        <v>669599.09372488491</v>
      </c>
      <c r="R15" s="32">
        <v>20360230015</v>
      </c>
      <c r="S15" s="51">
        <v>433094.66364359471</v>
      </c>
      <c r="T15" s="32">
        <v>20899573261.647938</v>
      </c>
      <c r="U15" s="51">
        <v>447327.55398537859</v>
      </c>
      <c r="V15" s="32">
        <v>12104837183</v>
      </c>
      <c r="W15" s="51">
        <v>387171.0944701102</v>
      </c>
      <c r="X15" s="32">
        <v>7664254039.694109</v>
      </c>
      <c r="Y15" s="51">
        <v>488237.06025207206</v>
      </c>
      <c r="Z15" s="32">
        <v>7200002813</v>
      </c>
      <c r="AA15" s="51">
        <v>466151.07386360114</v>
      </c>
      <c r="AB15" s="32">
        <v>46171911040</v>
      </c>
      <c r="AC15" s="51">
        <v>444915.19613434828</v>
      </c>
      <c r="AD15" s="32">
        <v>4739496535</v>
      </c>
      <c r="AE15" s="51">
        <v>297155.68611513422</v>
      </c>
      <c r="AF15" s="32">
        <v>4552564975.4784317</v>
      </c>
      <c r="AG15" s="51">
        <v>293241.38299909839</v>
      </c>
      <c r="AH15" s="32">
        <v>13994395371.176424</v>
      </c>
      <c r="AI15" s="51">
        <v>440538.14404339582</v>
      </c>
      <c r="AJ15" s="32">
        <v>6176974989</v>
      </c>
      <c r="AK15" s="51">
        <v>950199.85962510144</v>
      </c>
      <c r="AL15" s="32">
        <v>5424861840</v>
      </c>
      <c r="AM15" s="51">
        <v>631441.52167509391</v>
      </c>
      <c r="AN15" s="32">
        <v>5171096520.9322014</v>
      </c>
      <c r="AO15" s="51">
        <v>594657.00533369114</v>
      </c>
      <c r="AP15" s="32">
        <v>5171565230</v>
      </c>
      <c r="AQ15" s="51">
        <v>268638.56572194782</v>
      </c>
      <c r="AR15" s="32">
        <v>19550255823</v>
      </c>
      <c r="AS15" s="51">
        <v>411269.31086277217</v>
      </c>
      <c r="AT15" s="32">
        <v>12150199277</v>
      </c>
      <c r="AU15" s="51">
        <v>483276.83855598076</v>
      </c>
      <c r="AV15" s="32">
        <v>16893884831.656776</v>
      </c>
      <c r="AW15" s="51">
        <v>566264.01241788408</v>
      </c>
      <c r="AX15" s="32">
        <v>69197011158</v>
      </c>
      <c r="AY15" s="51">
        <v>847449.33962040383</v>
      </c>
      <c r="AZ15" s="32">
        <v>14697377901</v>
      </c>
      <c r="BA15" s="51">
        <v>507112.35424586141</v>
      </c>
      <c r="BB15" s="32">
        <v>10177611468</v>
      </c>
      <c r="BC15" s="51">
        <v>252231.66080701174</v>
      </c>
      <c r="BD15" s="32">
        <v>13485462325</v>
      </c>
      <c r="BE15" s="51">
        <v>462049.60232114926</v>
      </c>
      <c r="BF15" s="32">
        <v>3668891841</v>
      </c>
      <c r="BG15" s="51">
        <v>275635.4261929607</v>
      </c>
      <c r="BH15" s="32">
        <v>8032346968</v>
      </c>
      <c r="BI15" s="51">
        <v>241353.97159273256</v>
      </c>
      <c r="BJ15" s="32">
        <v>8820812398</v>
      </c>
      <c r="BK15" s="51">
        <v>259041.97498636768</v>
      </c>
      <c r="BL15" s="32">
        <v>10800579299.0481</v>
      </c>
      <c r="BM15" s="51">
        <v>590414.19881730666</v>
      </c>
      <c r="BN15" s="32">
        <v>4358365181</v>
      </c>
      <c r="BO15" s="51">
        <v>297164.33092027262</v>
      </c>
      <c r="BP15" s="32">
        <v>14799132253</v>
      </c>
      <c r="BQ15" s="51">
        <v>495130.7817021567</v>
      </c>
      <c r="BR15" s="32">
        <v>21261102122</v>
      </c>
      <c r="BS15" s="51">
        <v>468202.40453378414</v>
      </c>
      <c r="BT15" s="32">
        <v>35342761556</v>
      </c>
      <c r="BU15" s="51">
        <v>438575.47083593777</v>
      </c>
      <c r="BV15" s="32">
        <v>30292467995</v>
      </c>
      <c r="BW15" s="51">
        <v>379810.55292057997</v>
      </c>
      <c r="BX15" s="32">
        <v>3198916324</v>
      </c>
      <c r="BY15" s="51">
        <v>325299.00159908406</v>
      </c>
      <c r="BZ15" s="32">
        <v>11079077637</v>
      </c>
      <c r="CA15" s="51">
        <v>491401.29724344076</v>
      </c>
      <c r="CB15" s="32">
        <v>18143570148</v>
      </c>
      <c r="CC15" s="51">
        <v>569531.71473676653</v>
      </c>
      <c r="CD15" s="32">
        <v>5724202257</v>
      </c>
      <c r="CE15" s="51">
        <v>330292.06387257302</v>
      </c>
      <c r="CF15" s="32">
        <v>11532406966</v>
      </c>
      <c r="CG15" s="51">
        <v>328970.102634112</v>
      </c>
      <c r="CH15" s="32">
        <v>5862378563</v>
      </c>
      <c r="CI15" s="51">
        <v>305082.1744848009</v>
      </c>
      <c r="CJ15" s="32">
        <v>49701212287</v>
      </c>
      <c r="CK15" s="51">
        <v>454018.6397594873</v>
      </c>
      <c r="CL15" s="32">
        <v>23092795908</v>
      </c>
      <c r="CM15" s="51">
        <v>288924.3326841942</v>
      </c>
      <c r="CN15" s="32">
        <v>7045861107</v>
      </c>
      <c r="CO15" s="51">
        <v>303414.83615813433</v>
      </c>
      <c r="CP15" s="32">
        <v>6847378634</v>
      </c>
      <c r="CQ15" s="51">
        <v>293037.16593150416</v>
      </c>
      <c r="CR15" s="32">
        <v>5046962247</v>
      </c>
      <c r="CS15" s="51">
        <v>754324.66326475993</v>
      </c>
      <c r="CT15" s="32">
        <v>24888613162</v>
      </c>
      <c r="CU15" s="51">
        <v>398113.48380829027</v>
      </c>
      <c r="CV15" s="32">
        <v>80315142944</v>
      </c>
      <c r="CW15" s="51">
        <v>619772.22788357374</v>
      </c>
      <c r="CX15" s="32">
        <v>23612736764</v>
      </c>
      <c r="CY15" s="51">
        <v>575899.08106073597</v>
      </c>
      <c r="CZ15" s="32">
        <v>6111325116</v>
      </c>
      <c r="DA15" s="51">
        <v>853816.48019110656</v>
      </c>
      <c r="DB15" s="32">
        <v>5637585621</v>
      </c>
      <c r="DC15" s="51">
        <v>300118.15047838242</v>
      </c>
      <c r="DD15" s="32">
        <v>4833760992</v>
      </c>
      <c r="DE15" s="51">
        <v>305000.7259164158</v>
      </c>
      <c r="DF15" s="32">
        <v>6481692323</v>
      </c>
      <c r="DG15" s="51">
        <v>273677.9662318076</v>
      </c>
      <c r="DH15" s="32">
        <v>8252766927</v>
      </c>
      <c r="DI15" s="51">
        <v>693358.30719517509</v>
      </c>
      <c r="DJ15" s="32">
        <v>9771427037</v>
      </c>
      <c r="DK15" s="51">
        <v>269446.87524011143</v>
      </c>
      <c r="DL15" s="32">
        <v>16181572231</v>
      </c>
      <c r="DM15" s="51">
        <v>237473.91434218184</v>
      </c>
      <c r="DN15" s="32">
        <v>20922396662</v>
      </c>
      <c r="DO15" s="51">
        <v>696872.52925774187</v>
      </c>
      <c r="DP15" s="32">
        <v>16526886305</v>
      </c>
      <c r="DQ15" s="51">
        <v>516297.6946785539</v>
      </c>
      <c r="DR15" s="32">
        <v>48858910651</v>
      </c>
      <c r="DS15" s="51">
        <v>515455.20957752585</v>
      </c>
      <c r="DT15" s="32">
        <v>8527704682</v>
      </c>
      <c r="DU15" s="51">
        <v>258290.61395462937</v>
      </c>
      <c r="DV15" s="32">
        <v>36724593160</v>
      </c>
      <c r="DW15" s="51">
        <v>759678.11819240346</v>
      </c>
      <c r="DX15" s="32">
        <v>5212339159</v>
      </c>
      <c r="DY15" s="51">
        <v>307523.28190123138</v>
      </c>
      <c r="DZ15" s="32">
        <v>11225955839</v>
      </c>
      <c r="EA15" s="51">
        <v>312071.23150060733</v>
      </c>
      <c r="EB15" s="32">
        <v>24566452617</v>
      </c>
      <c r="EC15" s="51">
        <v>425465.68031586322</v>
      </c>
      <c r="ED15" s="32">
        <v>7945477575</v>
      </c>
      <c r="EE15" s="51">
        <v>430745.03449505335</v>
      </c>
      <c r="EF15" s="32">
        <v>22447237119</v>
      </c>
      <c r="EG15" s="51">
        <f>EF15/EF10</f>
        <v>421085.71169430477</v>
      </c>
      <c r="EH15" s="32">
        <v>9110975297</v>
      </c>
      <c r="EI15" s="51">
        <v>765460.90113820287</v>
      </c>
      <c r="EJ15" s="32">
        <v>36699770740</v>
      </c>
      <c r="EK15" s="51">
        <f>EJ15/EJ10</f>
        <v>759164.64621921035</v>
      </c>
      <c r="EL15" s="32">
        <v>7568741781</v>
      </c>
      <c r="EM15" s="51">
        <v>279446.12762672361</v>
      </c>
      <c r="EN15" s="32">
        <v>106034051146</v>
      </c>
      <c r="EO15" s="51">
        <v>492163.99921274302</v>
      </c>
      <c r="EP15" s="32">
        <v>8949656697</v>
      </c>
      <c r="EQ15" s="51">
        <v>268402.9112397327</v>
      </c>
      <c r="ER15" s="32">
        <v>13334301114</v>
      </c>
      <c r="ES15" s="51">
        <v>282992.99042383127</v>
      </c>
      <c r="ET15" s="32">
        <v>37348814611</v>
      </c>
      <c r="EU15" s="51">
        <v>318496.05203074933</v>
      </c>
      <c r="EV15" s="32">
        <v>30625284545</v>
      </c>
      <c r="EW15" s="51">
        <v>673356.22842033149</v>
      </c>
      <c r="EX15" s="32">
        <v>9514555850</v>
      </c>
      <c r="EY15" s="51">
        <v>279313.54269134795</v>
      </c>
      <c r="EZ15" s="32">
        <v>15029809917.200001</v>
      </c>
      <c r="FA15" s="51">
        <v>346727.24246160488</v>
      </c>
      <c r="FB15" s="32">
        <v>37764628135.950775</v>
      </c>
      <c r="FC15" s="51">
        <v>473252.41750533821</v>
      </c>
      <c r="FD15" s="32">
        <v>10200638073</v>
      </c>
      <c r="FE15" s="51">
        <v>245563.48831012804</v>
      </c>
      <c r="FF15" s="32">
        <v>34344655133</v>
      </c>
      <c r="FG15" s="51">
        <v>469647.74940552923</v>
      </c>
      <c r="FH15" s="32">
        <v>14516450339.666666</v>
      </c>
      <c r="FI15" s="51">
        <v>856401.91903042863</v>
      </c>
      <c r="FJ15" s="32">
        <v>4716769427</v>
      </c>
      <c r="FK15" s="51">
        <v>277568.64803077112</v>
      </c>
      <c r="FL15" s="32">
        <v>23066497553.68</v>
      </c>
      <c r="FM15" s="51">
        <v>550408.24208099174</v>
      </c>
      <c r="FN15" s="32">
        <v>4035354260</v>
      </c>
      <c r="FO15" s="51">
        <v>1542303.1652542069</v>
      </c>
      <c r="FP15" s="32">
        <v>27224434358</v>
      </c>
      <c r="FQ15" s="51">
        <v>313364.72916255635</v>
      </c>
      <c r="FR15" s="32">
        <v>2445429170</v>
      </c>
      <c r="FS15" s="51">
        <v>2312815.526395354</v>
      </c>
      <c r="FT15" s="32">
        <v>11386044717.040001</v>
      </c>
      <c r="FU15" s="51">
        <v>316521.55484375916</v>
      </c>
      <c r="FV15" s="32">
        <v>41784559880.959999</v>
      </c>
      <c r="FW15" s="51">
        <v>492843.0482020725</v>
      </c>
      <c r="FX15" s="32">
        <v>19167024992.240002</v>
      </c>
      <c r="FY15" s="51">
        <v>348296.61075171805</v>
      </c>
      <c r="FZ15" s="32">
        <v>13871510953.5</v>
      </c>
      <c r="GA15" s="51">
        <v>294339.39985086845</v>
      </c>
      <c r="GB15" s="32">
        <v>37457837891.239998</v>
      </c>
      <c r="GC15" s="51">
        <v>319199.27207969635</v>
      </c>
      <c r="GD15" s="32">
        <v>50946170194.922363</v>
      </c>
      <c r="GE15" s="51">
        <v>589444.49494921428</v>
      </c>
      <c r="GF15" s="32">
        <v>28705658061.639999</v>
      </c>
      <c r="GG15" s="51">
        <v>405813.21958880906</v>
      </c>
      <c r="GH15" s="32">
        <v>14962843253</v>
      </c>
      <c r="GI15" s="51">
        <v>268530.32334504212</v>
      </c>
      <c r="GJ15" s="32">
        <v>10665161952.32</v>
      </c>
      <c r="GK15" s="51">
        <v>414972.46726285672</v>
      </c>
      <c r="GL15" s="32">
        <v>28610503532.439999</v>
      </c>
      <c r="GM15" s="51">
        <v>340382.63968020846</v>
      </c>
      <c r="GN15" s="32">
        <v>24034536789.860001</v>
      </c>
      <c r="GO15" s="51">
        <v>523054.89642410231</v>
      </c>
      <c r="GP15" s="32">
        <v>15163752778.162743</v>
      </c>
      <c r="GQ15" s="51">
        <v>453479.56432717288</v>
      </c>
      <c r="GR15" s="32">
        <v>25847393904.299999</v>
      </c>
      <c r="GS15" s="51">
        <v>333453.82196643815</v>
      </c>
      <c r="GT15" s="32">
        <v>18052719171.720001</v>
      </c>
      <c r="GU15" s="51">
        <v>808614.41419442347</v>
      </c>
      <c r="GV15" s="32">
        <v>16934174659.32</v>
      </c>
      <c r="GW15" s="51">
        <v>532594.37340671732</v>
      </c>
      <c r="GX15" s="32">
        <v>6118829726.8000002</v>
      </c>
      <c r="GY15" s="51">
        <v>287095.8798520416</v>
      </c>
      <c r="GZ15" s="32">
        <v>6787951701</v>
      </c>
      <c r="HA15" s="51">
        <v>290493.95911366411</v>
      </c>
    </row>
    <row r="16" spans="1:209" x14ac:dyDescent="0.3">
      <c r="A16" s="163" t="s">
        <v>453</v>
      </c>
      <c r="B16" s="50"/>
      <c r="C16" s="37" t="s">
        <v>218</v>
      </c>
      <c r="D16" s="39">
        <v>787905026</v>
      </c>
      <c r="E16" s="51">
        <v>600338.82359345467</v>
      </c>
      <c r="F16" s="22">
        <v>1033538834</v>
      </c>
      <c r="G16" s="52">
        <v>741216.10079882003</v>
      </c>
      <c r="H16" s="22">
        <v>743628739</v>
      </c>
      <c r="I16" s="52">
        <v>632547.90754760872</v>
      </c>
      <c r="J16" s="39">
        <v>1186692637</v>
      </c>
      <c r="K16" s="51">
        <v>724354.3130640887</v>
      </c>
      <c r="L16" s="39">
        <v>1081332885</v>
      </c>
      <c r="M16" s="51">
        <v>779693.86313049239</v>
      </c>
      <c r="N16" s="39">
        <v>417568193</v>
      </c>
      <c r="O16" s="51">
        <v>609996.16980388341</v>
      </c>
      <c r="P16" s="39">
        <v>740934684</v>
      </c>
      <c r="Q16" s="51">
        <v>507328.47522104392</v>
      </c>
      <c r="R16" s="39">
        <v>1156465487</v>
      </c>
      <c r="S16" s="51">
        <v>724306.05799694778</v>
      </c>
      <c r="T16" s="39">
        <v>180769174</v>
      </c>
      <c r="U16" s="51">
        <v>498399.00395483722</v>
      </c>
      <c r="V16" s="39">
        <v>544446771</v>
      </c>
      <c r="W16" s="51">
        <v>543433.36919375986</v>
      </c>
      <c r="X16" s="39">
        <v>582879464</v>
      </c>
      <c r="Y16" s="51">
        <v>484957.82651478617</v>
      </c>
      <c r="Z16" s="39">
        <v>331235898</v>
      </c>
      <c r="AA16" s="51">
        <v>488972.86843075341</v>
      </c>
      <c r="AB16" s="39">
        <v>2192948341</v>
      </c>
      <c r="AC16" s="51">
        <v>558055.62647977204</v>
      </c>
      <c r="AD16" s="39">
        <v>359431881</v>
      </c>
      <c r="AE16" s="51">
        <v>409651.48789088649</v>
      </c>
      <c r="AF16" s="39">
        <v>218454401</v>
      </c>
      <c r="AG16" s="51">
        <v>409092.9328193774</v>
      </c>
      <c r="AH16" s="39">
        <v>542078439</v>
      </c>
      <c r="AI16" s="51">
        <v>483565.94976049359</v>
      </c>
      <c r="AJ16" s="39">
        <v>85984219</v>
      </c>
      <c r="AK16" s="51">
        <v>1138419.1112904479</v>
      </c>
      <c r="AL16" s="39">
        <v>315733520</v>
      </c>
      <c r="AM16" s="51">
        <v>508265.1782396959</v>
      </c>
      <c r="AN16" s="39">
        <v>350095014</v>
      </c>
      <c r="AO16" s="51">
        <v>817333.40203474578</v>
      </c>
      <c r="AP16" s="39">
        <v>283639283</v>
      </c>
      <c r="AQ16" s="51">
        <v>405375.50393538387</v>
      </c>
      <c r="AR16" s="39">
        <v>466511940</v>
      </c>
      <c r="AS16" s="51">
        <v>486724.75419155217</v>
      </c>
      <c r="AT16" s="39">
        <v>326138926</v>
      </c>
      <c r="AU16" s="51">
        <v>487850.70659312222</v>
      </c>
      <c r="AV16" s="39">
        <v>455744920</v>
      </c>
      <c r="AW16" s="51">
        <v>490938.40812750213</v>
      </c>
      <c r="AX16" s="39">
        <v>4679403065</v>
      </c>
      <c r="AY16" s="51">
        <v>553488.50277186662</v>
      </c>
      <c r="AZ16" s="39">
        <v>564849908</v>
      </c>
      <c r="BA16" s="51">
        <v>482501.50539183465</v>
      </c>
      <c r="BB16" s="39">
        <v>574325784</v>
      </c>
      <c r="BC16" s="51">
        <v>538113.36547185539</v>
      </c>
      <c r="BD16" s="39">
        <v>1016575411</v>
      </c>
      <c r="BE16" s="51">
        <v>482840.63960514654</v>
      </c>
      <c r="BF16" s="39">
        <v>170743838</v>
      </c>
      <c r="BG16" s="51">
        <v>409341.00599966035</v>
      </c>
      <c r="BH16" s="39">
        <v>619313860</v>
      </c>
      <c r="BI16" s="51">
        <v>405322.04974677169</v>
      </c>
      <c r="BJ16" s="39">
        <v>911412131</v>
      </c>
      <c r="BK16" s="51">
        <v>450085.65861969459</v>
      </c>
      <c r="BL16" s="39">
        <v>650913265</v>
      </c>
      <c r="BM16" s="51">
        <v>480414.7867227039</v>
      </c>
      <c r="BN16" s="39">
        <v>359934169</v>
      </c>
      <c r="BO16" s="51">
        <v>408849.98102598847</v>
      </c>
      <c r="BP16" s="39">
        <v>444474344</v>
      </c>
      <c r="BQ16" s="51">
        <v>485428.4206267799</v>
      </c>
      <c r="BR16" s="39">
        <v>488198666</v>
      </c>
      <c r="BS16" s="51">
        <v>487376.90118980868</v>
      </c>
      <c r="BT16" s="39">
        <v>1526653228</v>
      </c>
      <c r="BU16" s="51">
        <v>408987.68477129895</v>
      </c>
      <c r="BV16" s="39">
        <v>1297007140</v>
      </c>
      <c r="BW16" s="51">
        <v>480220.83507326007</v>
      </c>
      <c r="BX16" s="39">
        <v>251202652</v>
      </c>
      <c r="BY16" s="51">
        <v>413132.47295337234</v>
      </c>
      <c r="BZ16" s="39">
        <v>235930202</v>
      </c>
      <c r="CA16" s="51">
        <v>490527.08287522011</v>
      </c>
      <c r="CB16" s="39">
        <v>999961983</v>
      </c>
      <c r="CC16" s="51">
        <v>584240.87789716187</v>
      </c>
      <c r="CD16" s="39">
        <v>163941542</v>
      </c>
      <c r="CE16" s="51">
        <v>416496.59648508008</v>
      </c>
      <c r="CF16" s="39">
        <v>585504035</v>
      </c>
      <c r="CG16" s="51">
        <v>420582.30949204037</v>
      </c>
      <c r="CH16" s="39">
        <v>377360624</v>
      </c>
      <c r="CI16" s="51">
        <v>435365.31500070437</v>
      </c>
      <c r="CJ16" s="39">
        <v>6333832083</v>
      </c>
      <c r="CK16" s="51">
        <v>478161.40952919616</v>
      </c>
      <c r="CL16" s="39">
        <v>859055724</v>
      </c>
      <c r="CM16" s="51">
        <v>403477.82024254504</v>
      </c>
      <c r="CN16" s="39">
        <v>301020260</v>
      </c>
      <c r="CO16" s="51">
        <v>410770.46708803228</v>
      </c>
      <c r="CP16" s="39">
        <v>365448101</v>
      </c>
      <c r="CQ16" s="51">
        <v>407258.18360030622</v>
      </c>
      <c r="CR16" s="39">
        <v>103548528</v>
      </c>
      <c r="CS16" s="51">
        <v>438398.57219787175</v>
      </c>
      <c r="CT16" s="39">
        <v>633850267</v>
      </c>
      <c r="CU16" s="51">
        <v>481332.06682596961</v>
      </c>
      <c r="CV16" s="39">
        <v>5236501546</v>
      </c>
      <c r="CW16" s="51">
        <v>509659.97592708562</v>
      </c>
      <c r="CX16" s="39">
        <v>1229330893</v>
      </c>
      <c r="CY16" s="51">
        <v>489439.67477451556</v>
      </c>
      <c r="CZ16" s="39">
        <v>211427633</v>
      </c>
      <c r="DA16" s="51">
        <v>520182.01686091261</v>
      </c>
      <c r="DB16" s="39">
        <v>529623929</v>
      </c>
      <c r="DC16" s="51">
        <v>404741.53830154293</v>
      </c>
      <c r="DD16" s="39">
        <v>144508677</v>
      </c>
      <c r="DE16" s="51">
        <v>411859.11208347185</v>
      </c>
      <c r="DF16" s="39">
        <v>48155013</v>
      </c>
      <c r="DG16" s="51">
        <v>80204.978826783554</v>
      </c>
      <c r="DH16" s="39">
        <v>935450464</v>
      </c>
      <c r="DI16" s="51">
        <v>501159.50518280908</v>
      </c>
      <c r="DJ16" s="39">
        <v>1533921296</v>
      </c>
      <c r="DK16" s="51">
        <v>406301.99213655788</v>
      </c>
      <c r="DL16" s="39">
        <v>1292522448</v>
      </c>
      <c r="DM16" s="51">
        <v>524517.03967474331</v>
      </c>
      <c r="DN16" s="39">
        <v>520778315</v>
      </c>
      <c r="DO16" s="51">
        <v>481740.15244224324</v>
      </c>
      <c r="DP16" s="39">
        <v>479388520</v>
      </c>
      <c r="DQ16" s="51">
        <v>483473.2827769217</v>
      </c>
      <c r="DR16" s="39">
        <v>5744170966</v>
      </c>
      <c r="DS16" s="51">
        <v>475504.22113451432</v>
      </c>
      <c r="DT16" s="39">
        <v>283405474</v>
      </c>
      <c r="DU16" s="51">
        <v>405709.3388659379</v>
      </c>
      <c r="DV16" s="39">
        <v>930392840</v>
      </c>
      <c r="DW16" s="51">
        <v>417008.4890050292</v>
      </c>
      <c r="DX16" s="39">
        <v>761569422</v>
      </c>
      <c r="DY16" s="51">
        <v>429723.65519089752</v>
      </c>
      <c r="DZ16" s="39">
        <v>497486521</v>
      </c>
      <c r="EA16" s="51">
        <v>446433.31076500891</v>
      </c>
      <c r="EB16" s="39">
        <v>636530022</v>
      </c>
      <c r="EC16" s="51">
        <v>480882.53659701813</v>
      </c>
      <c r="ED16" s="39">
        <v>378886293</v>
      </c>
      <c r="EE16" s="51">
        <v>483752.27944626042</v>
      </c>
      <c r="EF16" s="39">
        <v>6783354093</v>
      </c>
      <c r="EG16" s="51">
        <f>EF16/EF11</f>
        <v>903242.88854860188</v>
      </c>
      <c r="EH16" s="39">
        <v>725406015</v>
      </c>
      <c r="EI16" s="51">
        <v>503157.19773122109</v>
      </c>
      <c r="EJ16" s="39">
        <v>930392840</v>
      </c>
      <c r="EK16" s="51">
        <v>417008.4890050292</v>
      </c>
      <c r="EL16" s="39">
        <v>373138714</v>
      </c>
      <c r="EM16" s="51">
        <v>408857.1298446139</v>
      </c>
      <c r="EN16" s="39">
        <v>18120585532</v>
      </c>
      <c r="EO16" s="51">
        <v>1847718.4346602594</v>
      </c>
      <c r="EP16" s="39">
        <v>353280452</v>
      </c>
      <c r="EQ16" s="51">
        <v>425381.40313203225</v>
      </c>
      <c r="ER16" s="39">
        <v>1441426400</v>
      </c>
      <c r="ES16" s="51">
        <v>646933.40769681288</v>
      </c>
      <c r="ET16" s="39">
        <v>5354663093</v>
      </c>
      <c r="EU16" s="51">
        <v>881439.71735080983</v>
      </c>
      <c r="EV16" s="39">
        <v>3077955501</v>
      </c>
      <c r="EW16" s="51">
        <v>985303.80549982667</v>
      </c>
      <c r="EX16" s="39">
        <v>577504427</v>
      </c>
      <c r="EY16" s="51">
        <v>487143.18315299827</v>
      </c>
      <c r="EZ16" s="39">
        <v>613517180</v>
      </c>
      <c r="FA16" s="51">
        <v>431775.91020320088</v>
      </c>
      <c r="FB16" s="39">
        <v>588309861</v>
      </c>
      <c r="FC16" s="51">
        <v>491615.2230388195</v>
      </c>
      <c r="FD16" s="39">
        <v>423863967</v>
      </c>
      <c r="FE16" s="51">
        <v>406619.12423348811</v>
      </c>
      <c r="FF16" s="39">
        <v>1063099377</v>
      </c>
      <c r="FG16" s="51">
        <v>532630.1262459557</v>
      </c>
      <c r="FH16" s="39">
        <v>1316344011</v>
      </c>
      <c r="FI16" s="51">
        <v>328051.97118736076</v>
      </c>
      <c r="FJ16" s="39">
        <v>203025844</v>
      </c>
      <c r="FK16" s="51">
        <v>410497.14684721711</v>
      </c>
      <c r="FL16" s="39">
        <v>1123281563</v>
      </c>
      <c r="FM16" s="51">
        <v>509968.27461373457</v>
      </c>
      <c r="FN16" s="39">
        <v>314856856</v>
      </c>
      <c r="FO16" s="51">
        <v>663737.85658748727</v>
      </c>
      <c r="FP16" s="39">
        <v>2775712791</v>
      </c>
      <c r="FQ16" s="51">
        <v>552762.49246169173</v>
      </c>
      <c r="FR16" s="39">
        <v>78844074</v>
      </c>
      <c r="FS16" s="51">
        <v>1223789.7447140578</v>
      </c>
      <c r="FT16" s="39">
        <v>539510101</v>
      </c>
      <c r="FU16" s="51">
        <v>484144.33439613611</v>
      </c>
      <c r="FV16" s="39">
        <v>1072460687</v>
      </c>
      <c r="FW16" s="51">
        <v>512013.93152481935</v>
      </c>
      <c r="FX16" s="39">
        <v>939279961</v>
      </c>
      <c r="FY16" s="51">
        <v>424861.6939603741</v>
      </c>
      <c r="FZ16" s="39">
        <v>1505645749</v>
      </c>
      <c r="GA16" s="51">
        <v>446661.11134949443</v>
      </c>
      <c r="GB16" s="39">
        <v>5191759205</v>
      </c>
      <c r="GC16" s="51">
        <v>881569.17189161014</v>
      </c>
      <c r="GD16" s="39">
        <v>1970438444</v>
      </c>
      <c r="GE16" s="51">
        <v>435215.83538285567</v>
      </c>
      <c r="GF16" s="39">
        <v>2727558908</v>
      </c>
      <c r="GG16" s="51">
        <v>486115.36056159472</v>
      </c>
      <c r="GH16" s="39">
        <v>541352871</v>
      </c>
      <c r="GI16" s="51">
        <v>403882.17053910717</v>
      </c>
      <c r="GJ16" s="39">
        <v>532018315</v>
      </c>
      <c r="GK16" s="51">
        <v>483251.02428888856</v>
      </c>
      <c r="GL16" s="39">
        <v>1447788826</v>
      </c>
      <c r="GM16" s="51">
        <v>406702.22908181185</v>
      </c>
      <c r="GN16" s="39">
        <v>1273910938</v>
      </c>
      <c r="GO16" s="51">
        <v>550931.19874805165</v>
      </c>
      <c r="GP16" s="39">
        <v>1077979251</v>
      </c>
      <c r="GQ16" s="51">
        <v>479404.17361136829</v>
      </c>
      <c r="GR16" s="39">
        <v>815152771</v>
      </c>
      <c r="GS16" s="51">
        <v>406752.00458442263</v>
      </c>
      <c r="GT16" s="39">
        <v>788218400</v>
      </c>
      <c r="GU16" s="51">
        <v>577249.43103868433</v>
      </c>
      <c r="GV16" s="39">
        <v>535369053</v>
      </c>
      <c r="GW16" s="51">
        <v>480668.93411390547</v>
      </c>
      <c r="GX16" s="39">
        <v>442203786</v>
      </c>
      <c r="GY16" s="51">
        <v>406970.28835155902</v>
      </c>
      <c r="GZ16" s="39">
        <v>366805412</v>
      </c>
      <c r="HA16" s="51">
        <v>408770.78145189752</v>
      </c>
    </row>
    <row r="17" spans="1:209" x14ac:dyDescent="0.3">
      <c r="A17" s="163" t="s">
        <v>453</v>
      </c>
      <c r="B17" s="50"/>
      <c r="C17" s="37" t="s">
        <v>219</v>
      </c>
      <c r="D17" s="39">
        <v>1515730548</v>
      </c>
      <c r="E17" s="51">
        <v>681895.39619456336</v>
      </c>
      <c r="F17" s="22">
        <v>387657428</v>
      </c>
      <c r="G17" s="52">
        <v>292731.703778025</v>
      </c>
      <c r="H17" s="22">
        <v>470180564</v>
      </c>
      <c r="I17" s="52">
        <v>506431.84985857719</v>
      </c>
      <c r="J17" s="39">
        <v>408513205</v>
      </c>
      <c r="K17" s="51">
        <v>478331.65564566915</v>
      </c>
      <c r="L17" s="39">
        <v>0</v>
      </c>
      <c r="M17" s="51">
        <v>0</v>
      </c>
      <c r="N17" s="39">
        <v>45679297</v>
      </c>
      <c r="O17" s="51">
        <v>208884.27491644997</v>
      </c>
      <c r="P17" s="39">
        <v>4416283091</v>
      </c>
      <c r="Q17" s="51">
        <v>1249077.1764579078</v>
      </c>
      <c r="R17" s="39">
        <v>106902134</v>
      </c>
      <c r="S17" s="51">
        <v>156559.15159707385</v>
      </c>
      <c r="T17" s="39">
        <v>141920577</v>
      </c>
      <c r="U17" s="51">
        <v>312774.0289644</v>
      </c>
      <c r="V17" s="39">
        <v>86716061</v>
      </c>
      <c r="W17" s="51">
        <v>266869.56976838148</v>
      </c>
      <c r="X17" s="39">
        <v>1079845192</v>
      </c>
      <c r="Y17" s="51">
        <v>494755.12574354943</v>
      </c>
      <c r="Z17" s="39">
        <v>104676449</v>
      </c>
      <c r="AA17" s="51">
        <v>249112.138812658</v>
      </c>
      <c r="AB17" s="39">
        <v>693328323</v>
      </c>
      <c r="AC17" s="51">
        <v>507043.85094432853</v>
      </c>
      <c r="AD17" s="39">
        <v>191441536</v>
      </c>
      <c r="AE17" s="51">
        <v>320713.32955971127</v>
      </c>
      <c r="AF17" s="39">
        <v>30428709</v>
      </c>
      <c r="AG17" s="51">
        <v>153978.66155186374</v>
      </c>
      <c r="AH17" s="39">
        <v>860371084</v>
      </c>
      <c r="AI17" s="51">
        <v>493319.81607622822</v>
      </c>
      <c r="AJ17" s="39">
        <v>771745314</v>
      </c>
      <c r="AK17" s="51">
        <v>718785.34947651427</v>
      </c>
      <c r="AL17" s="39">
        <v>0</v>
      </c>
      <c r="AM17" s="51">
        <v>0</v>
      </c>
      <c r="AN17" s="39">
        <v>0</v>
      </c>
      <c r="AO17" s="51">
        <v>0</v>
      </c>
      <c r="AP17" s="39">
        <v>57883370</v>
      </c>
      <c r="AQ17" s="51">
        <v>648244.57953724312</v>
      </c>
      <c r="AR17" s="39">
        <v>1016089959</v>
      </c>
      <c r="AS17" s="51">
        <v>679290.43416577554</v>
      </c>
      <c r="AT17" s="39">
        <v>111755677</v>
      </c>
      <c r="AU17" s="51">
        <v>307868.26418883336</v>
      </c>
      <c r="AV17" s="39">
        <v>3942192027</v>
      </c>
      <c r="AW17" s="51">
        <v>1144653.4514814825</v>
      </c>
      <c r="AX17" s="39">
        <v>16843269255</v>
      </c>
      <c r="AY17" s="51">
        <v>1026498.5403959674</v>
      </c>
      <c r="AZ17" s="39">
        <v>454226748</v>
      </c>
      <c r="BA17" s="51">
        <v>269545.26881927194</v>
      </c>
      <c r="BB17" s="39">
        <v>1782990075</v>
      </c>
      <c r="BC17" s="51">
        <v>502334.41643632884</v>
      </c>
      <c r="BD17" s="39">
        <v>3195458705</v>
      </c>
      <c r="BE17" s="51">
        <v>690659.05629785929</v>
      </c>
      <c r="BF17" s="39">
        <v>701516697</v>
      </c>
      <c r="BG17" s="51">
        <v>315493.9282948277</v>
      </c>
      <c r="BH17" s="39">
        <v>1089745806</v>
      </c>
      <c r="BI17" s="51">
        <v>763197.98156989855</v>
      </c>
      <c r="BJ17" s="39">
        <v>34771374</v>
      </c>
      <c r="BK17" s="51">
        <v>318117.23207540903</v>
      </c>
      <c r="BL17" s="39">
        <v>126675948</v>
      </c>
      <c r="BM17" s="51">
        <v>499353.63518316159</v>
      </c>
      <c r="BN17" s="39">
        <v>667698114</v>
      </c>
      <c r="BO17" s="51">
        <v>696398.15269723488</v>
      </c>
      <c r="BP17" s="39">
        <v>118385384</v>
      </c>
      <c r="BQ17" s="51">
        <v>1003843.4372010465</v>
      </c>
      <c r="BR17" s="39">
        <v>108080446</v>
      </c>
      <c r="BS17" s="51">
        <v>152864.59914401692</v>
      </c>
      <c r="BT17" s="39">
        <v>3197785246</v>
      </c>
      <c r="BU17" s="51">
        <v>472666.69705449266</v>
      </c>
      <c r="BV17" s="39">
        <v>118862615</v>
      </c>
      <c r="BW17" s="51">
        <v>454861.2003750148</v>
      </c>
      <c r="BX17" s="39">
        <v>734927451</v>
      </c>
      <c r="BY17" s="51">
        <v>494311.74932844844</v>
      </c>
      <c r="BZ17" s="39">
        <v>570932827</v>
      </c>
      <c r="CA17" s="51">
        <v>674067.7641059286</v>
      </c>
      <c r="CB17" s="39">
        <v>555623139</v>
      </c>
      <c r="CC17" s="51">
        <v>963868.31150945299</v>
      </c>
      <c r="CD17" s="39">
        <v>198607201</v>
      </c>
      <c r="CE17" s="51">
        <v>756901.43923098408</v>
      </c>
      <c r="CF17" s="39">
        <v>1867959637</v>
      </c>
      <c r="CG17" s="51">
        <v>618621.17755161342</v>
      </c>
      <c r="CH17" s="39">
        <v>12631825</v>
      </c>
      <c r="CI17" s="51">
        <v>145796.38812688299</v>
      </c>
      <c r="CJ17" s="39">
        <v>1136894063</v>
      </c>
      <c r="CK17" s="51">
        <v>384089.28628742951</v>
      </c>
      <c r="CL17" s="39">
        <v>82214826</v>
      </c>
      <c r="CM17" s="51">
        <v>153025.65334665708</v>
      </c>
      <c r="CN17" s="39">
        <v>15370969</v>
      </c>
      <c r="CO17" s="51">
        <v>148692.60764711289</v>
      </c>
      <c r="CP17" s="39">
        <v>32017721</v>
      </c>
      <c r="CQ17" s="51">
        <v>149619.45247692114</v>
      </c>
      <c r="CR17" s="39">
        <v>2218353041.1725001</v>
      </c>
      <c r="CS17" s="51">
        <v>876525.40523385175</v>
      </c>
      <c r="CT17" s="39">
        <v>331502744</v>
      </c>
      <c r="CU17" s="51">
        <v>294400.37126258569</v>
      </c>
      <c r="CV17" s="39">
        <v>8814080373</v>
      </c>
      <c r="CW17" s="51">
        <v>696464.86263113585</v>
      </c>
      <c r="CX17" s="39">
        <v>442400833</v>
      </c>
      <c r="CY17" s="51">
        <v>567095.88191417383</v>
      </c>
      <c r="CZ17" s="39">
        <v>2919241915.2600002</v>
      </c>
      <c r="DA17" s="51">
        <v>1138822.8628703593</v>
      </c>
      <c r="DB17" s="39">
        <v>139852505</v>
      </c>
      <c r="DC17" s="51">
        <v>308982.88114631613</v>
      </c>
      <c r="DD17" s="39">
        <v>76678694</v>
      </c>
      <c r="DE17" s="51">
        <v>129419.2439017454</v>
      </c>
      <c r="DF17" s="39">
        <v>20733583</v>
      </c>
      <c r="DG17" s="51">
        <v>274164.31472560001</v>
      </c>
      <c r="DH17" s="39">
        <v>0</v>
      </c>
      <c r="DI17" s="51">
        <v>0</v>
      </c>
      <c r="DJ17" s="39">
        <v>20221272382.585938</v>
      </c>
      <c r="DK17" s="51">
        <v>1412976.7395298602</v>
      </c>
      <c r="DL17" s="39">
        <v>552379263</v>
      </c>
      <c r="DM17" s="51">
        <v>161775.34352966087</v>
      </c>
      <c r="DN17" s="39">
        <v>3378250747.3999996</v>
      </c>
      <c r="DO17" s="51">
        <v>786686.91709391226</v>
      </c>
      <c r="DP17" s="39">
        <v>216877007</v>
      </c>
      <c r="DQ17" s="51">
        <v>313009.77063649578</v>
      </c>
      <c r="DR17" s="39">
        <v>3421328732</v>
      </c>
      <c r="DS17" s="51">
        <v>812955.01540310914</v>
      </c>
      <c r="DT17" s="39">
        <v>37492636</v>
      </c>
      <c r="DU17" s="51">
        <v>149488.13748698917</v>
      </c>
      <c r="DV17" s="39">
        <v>1145489636</v>
      </c>
      <c r="DW17" s="51">
        <v>756746.53051334934</v>
      </c>
      <c r="DX17" s="39">
        <v>45873902</v>
      </c>
      <c r="DY17" s="51">
        <v>150530.0020165965</v>
      </c>
      <c r="DZ17" s="39">
        <v>1341010416</v>
      </c>
      <c r="EA17" s="51">
        <v>473251.71553276677</v>
      </c>
      <c r="EB17" s="39">
        <v>218085154</v>
      </c>
      <c r="EC17" s="51">
        <v>312329.20065806335</v>
      </c>
      <c r="ED17" s="39">
        <v>116910347</v>
      </c>
      <c r="EE17" s="51">
        <v>312929.56931996188</v>
      </c>
      <c r="EF17" s="39">
        <v>115011469</v>
      </c>
      <c r="EG17" s="51">
        <f>EF17/EF12</f>
        <v>173996.17095310136</v>
      </c>
      <c r="EH17" s="39">
        <v>0</v>
      </c>
      <c r="EI17" s="51">
        <v>0</v>
      </c>
      <c r="EJ17" s="39">
        <v>1145489636</v>
      </c>
      <c r="EK17" s="51">
        <v>756746.53051334934</v>
      </c>
      <c r="EL17" s="39">
        <v>23843207</v>
      </c>
      <c r="EM17" s="51">
        <v>76899.681273379058</v>
      </c>
      <c r="EN17" s="39">
        <v>1023952964</v>
      </c>
      <c r="EO17" s="51">
        <v>291808.94037855172</v>
      </c>
      <c r="EP17" s="39">
        <v>13615565</v>
      </c>
      <c r="EQ17" s="51">
        <v>149884.56469197469</v>
      </c>
      <c r="ER17" s="39">
        <v>4432016348.1750002</v>
      </c>
      <c r="ES17" s="51">
        <v>550606.84975225688</v>
      </c>
      <c r="ET17" s="39">
        <v>19812078911.630501</v>
      </c>
      <c r="EU17" s="51">
        <v>1007253.0264067565</v>
      </c>
      <c r="EV17" s="39">
        <v>628121912</v>
      </c>
      <c r="EW17" s="51">
        <v>222522.55072582301</v>
      </c>
      <c r="EX17" s="39">
        <v>35789034</v>
      </c>
      <c r="EY17" s="51">
        <v>320627.06936910568</v>
      </c>
      <c r="EZ17" s="39">
        <v>100265056</v>
      </c>
      <c r="FA17" s="51">
        <v>332784.4647589926</v>
      </c>
      <c r="FB17" s="39">
        <v>886033104</v>
      </c>
      <c r="FC17" s="51">
        <v>453344.64002552809</v>
      </c>
      <c r="FD17" s="39">
        <v>606711720</v>
      </c>
      <c r="FE17" s="51">
        <v>752031.34757255344</v>
      </c>
      <c r="FF17" s="39">
        <v>224749994.03749999</v>
      </c>
      <c r="FG17" s="51">
        <v>372371.76761524356</v>
      </c>
      <c r="FH17" s="39">
        <v>1172692265.7755485</v>
      </c>
      <c r="FI17" s="51">
        <v>778138.51710172789</v>
      </c>
      <c r="FJ17" s="39">
        <v>0</v>
      </c>
      <c r="FK17" s="51">
        <v>0</v>
      </c>
      <c r="FL17" s="39">
        <v>513030112.5</v>
      </c>
      <c r="FM17" s="51">
        <v>576679.80737470812</v>
      </c>
      <c r="FN17" s="39">
        <v>0</v>
      </c>
      <c r="FO17" s="51">
        <v>0</v>
      </c>
      <c r="FP17" s="39">
        <v>200878289</v>
      </c>
      <c r="FQ17" s="51">
        <v>195748.03026028464</v>
      </c>
      <c r="FR17" s="39">
        <v>0</v>
      </c>
      <c r="FS17" s="51">
        <v>0</v>
      </c>
      <c r="FT17" s="39">
        <v>1142096431</v>
      </c>
      <c r="FU17" s="51">
        <v>647427.32735118689</v>
      </c>
      <c r="FV17" s="39">
        <v>913146037.82999992</v>
      </c>
      <c r="FW17" s="51">
        <v>663559.6655633375</v>
      </c>
      <c r="FX17" s="39">
        <v>523024856</v>
      </c>
      <c r="FY17" s="51">
        <v>743399.39895895787</v>
      </c>
      <c r="FZ17" s="39">
        <v>4320241343</v>
      </c>
      <c r="GA17" s="51">
        <v>541151.90236655099</v>
      </c>
      <c r="GB17" s="39">
        <v>16231325448.775251</v>
      </c>
      <c r="GC17" s="51">
        <v>833149.97805359028</v>
      </c>
      <c r="GD17" s="39">
        <v>3118985849</v>
      </c>
      <c r="GE17" s="51">
        <v>1116606.3915555773</v>
      </c>
      <c r="GF17" s="39">
        <v>166220112</v>
      </c>
      <c r="GG17" s="51">
        <v>312941.2698116625</v>
      </c>
      <c r="GH17" s="39">
        <v>32967526</v>
      </c>
      <c r="GI17" s="51">
        <v>182898.17466210912</v>
      </c>
      <c r="GJ17" s="39">
        <v>9873917</v>
      </c>
      <c r="GK17" s="51">
        <v>158698.92463341111</v>
      </c>
      <c r="GL17" s="39">
        <v>42735147</v>
      </c>
      <c r="GM17" s="51">
        <v>158196.08406503699</v>
      </c>
      <c r="GN17" s="39">
        <v>360181872</v>
      </c>
      <c r="GO17" s="51">
        <v>1033139.9377642743</v>
      </c>
      <c r="GP17" s="39">
        <v>40550729.999999993</v>
      </c>
      <c r="GQ17" s="51">
        <v>300001.34999999992</v>
      </c>
      <c r="GR17" s="39">
        <v>15300090932.499998</v>
      </c>
      <c r="GS17" s="51">
        <v>1194807.9439348374</v>
      </c>
      <c r="GT17" s="39">
        <v>733690174</v>
      </c>
      <c r="GU17" s="51">
        <v>1219423.3168472599</v>
      </c>
      <c r="GV17" s="39">
        <v>123333250</v>
      </c>
      <c r="GW17" s="51">
        <v>193873.06602472658</v>
      </c>
      <c r="GX17" s="39">
        <v>269169629</v>
      </c>
      <c r="GY17" s="51">
        <v>406868.29426072247</v>
      </c>
      <c r="GZ17" s="39">
        <v>33117384</v>
      </c>
      <c r="HA17" s="51">
        <v>154758.19973407692</v>
      </c>
    </row>
    <row r="18" spans="1:209" x14ac:dyDescent="0.3">
      <c r="A18" s="163" t="s">
        <v>453</v>
      </c>
      <c r="B18" s="50"/>
      <c r="C18" s="53" t="s">
        <v>222</v>
      </c>
      <c r="D18" s="42">
        <v>1104854061</v>
      </c>
      <c r="E18" s="51">
        <v>143822.52053765071</v>
      </c>
      <c r="F18" s="22">
        <v>2793386582</v>
      </c>
      <c r="G18" s="52">
        <v>101223.31569406552</v>
      </c>
      <c r="H18" s="43">
        <v>1037045346</v>
      </c>
      <c r="I18" s="52">
        <v>90209.419160415346</v>
      </c>
      <c r="J18" s="42">
        <v>1067681701</v>
      </c>
      <c r="K18" s="51">
        <v>92603.261679208415</v>
      </c>
      <c r="L18" s="42">
        <v>799777289</v>
      </c>
      <c r="M18" s="51">
        <v>133707.28377097595</v>
      </c>
      <c r="N18" s="42">
        <v>1025721338</v>
      </c>
      <c r="O18" s="51">
        <v>89976.216113098286</v>
      </c>
      <c r="P18" s="42">
        <v>1798009482</v>
      </c>
      <c r="Q18" s="51">
        <v>124066.3074249121</v>
      </c>
      <c r="R18" s="42">
        <v>1836659066</v>
      </c>
      <c r="S18" s="51">
        <v>91308.531513303518</v>
      </c>
      <c r="T18" s="42">
        <v>2451384169</v>
      </c>
      <c r="U18" s="51">
        <v>121791.43320820775</v>
      </c>
      <c r="V18" s="42">
        <v>1286261651</v>
      </c>
      <c r="W18" s="51">
        <v>102711.08838339399</v>
      </c>
      <c r="X18" s="42">
        <v>865820439</v>
      </c>
      <c r="Y18" s="51">
        <v>91782.241694603174</v>
      </c>
      <c r="Z18" s="42">
        <v>985896135</v>
      </c>
      <c r="AA18" s="51">
        <v>150815.0849576992</v>
      </c>
      <c r="AB18" s="42">
        <v>5083914758</v>
      </c>
      <c r="AC18" s="51">
        <v>93086.293890555215</v>
      </c>
      <c r="AD18" s="42">
        <v>106556934</v>
      </c>
      <c r="AE18" s="51">
        <v>16517.948266260468</v>
      </c>
      <c r="AF18" s="42">
        <v>93226014</v>
      </c>
      <c r="AG18" s="51">
        <v>15110.760754387376</v>
      </c>
      <c r="AH18" s="42">
        <v>1443585895</v>
      </c>
      <c r="AI18" s="51">
        <v>94101.434759691096</v>
      </c>
      <c r="AJ18" s="42">
        <v>588433668</v>
      </c>
      <c r="AK18" s="51">
        <v>192708.42758963894</v>
      </c>
      <c r="AL18" s="42">
        <v>658027166</v>
      </c>
      <c r="AM18" s="51">
        <v>111888.94298045042</v>
      </c>
      <c r="AN18" s="42">
        <v>777910714</v>
      </c>
      <c r="AO18" s="51">
        <v>112323.1526420704</v>
      </c>
      <c r="AP18" s="42">
        <v>214369926</v>
      </c>
      <c r="AQ18" s="51">
        <v>21011.300586577054</v>
      </c>
      <c r="AR18" s="42">
        <v>2188299947</v>
      </c>
      <c r="AS18" s="51">
        <v>90785.928578359628</v>
      </c>
      <c r="AT18" s="42">
        <v>1334423021</v>
      </c>
      <c r="AU18" s="51">
        <v>87758.084286346915</v>
      </c>
      <c r="AV18" s="42">
        <v>2198958070</v>
      </c>
      <c r="AW18" s="51">
        <v>100190.67664367749</v>
      </c>
      <c r="AX18" s="42">
        <v>5256356063</v>
      </c>
      <c r="AY18" s="51">
        <v>157630.10382762892</v>
      </c>
      <c r="AZ18" s="42">
        <v>1913709146</v>
      </c>
      <c r="BA18" s="51">
        <v>129360.03743687851</v>
      </c>
      <c r="BB18" s="42">
        <v>266402816</v>
      </c>
      <c r="BC18" s="51">
        <v>14072.246707085744</v>
      </c>
      <c r="BD18" s="42">
        <v>1561944477</v>
      </c>
      <c r="BE18" s="51">
        <v>91388.633174158676</v>
      </c>
      <c r="BF18" s="42">
        <v>91269108</v>
      </c>
      <c r="BG18" s="51">
        <v>14654.535918897027</v>
      </c>
      <c r="BH18" s="42">
        <v>212735207</v>
      </c>
      <c r="BI18" s="51">
        <v>14266.363259024065</v>
      </c>
      <c r="BJ18" s="42">
        <v>253161802</v>
      </c>
      <c r="BK18" s="51">
        <v>15206.520502058518</v>
      </c>
      <c r="BL18" s="42">
        <v>1445003408</v>
      </c>
      <c r="BM18" s="51">
        <v>139642.08788784215</v>
      </c>
      <c r="BN18" s="42">
        <v>135461987</v>
      </c>
      <c r="BO18" s="51">
        <v>14327.889114547097</v>
      </c>
      <c r="BP18" s="42">
        <v>2085983424</v>
      </c>
      <c r="BQ18" s="51">
        <v>121152.26568398991</v>
      </c>
      <c r="BR18" s="42">
        <v>2563992774</v>
      </c>
      <c r="BS18" s="51">
        <v>104805.1962438982</v>
      </c>
      <c r="BT18" s="42">
        <v>879289929</v>
      </c>
      <c r="BU18" s="51">
        <v>15005.801024143642</v>
      </c>
      <c r="BV18" s="42">
        <v>3294371422</v>
      </c>
      <c r="BW18" s="51">
        <v>87384.849701708925</v>
      </c>
      <c r="BX18" s="42">
        <v>140859996</v>
      </c>
      <c r="BY18" s="51">
        <v>33000.527164894724</v>
      </c>
      <c r="BZ18" s="42">
        <v>1070172151</v>
      </c>
      <c r="CA18" s="51">
        <v>90531.119729151949</v>
      </c>
      <c r="CB18" s="42">
        <v>3456089002</v>
      </c>
      <c r="CC18" s="51">
        <v>112184.27503559514</v>
      </c>
      <c r="CD18" s="42">
        <v>123616622</v>
      </c>
      <c r="CE18" s="51">
        <v>15823.684411062624</v>
      </c>
      <c r="CF18" s="42">
        <v>290908981</v>
      </c>
      <c r="CG18" s="51">
        <v>16094.146058001979</v>
      </c>
      <c r="CH18" s="42">
        <v>173088921</v>
      </c>
      <c r="CI18" s="51">
        <v>17282.893208170943</v>
      </c>
      <c r="CJ18" s="42">
        <v>11746966582.454535</v>
      </c>
      <c r="CK18" s="51">
        <v>112141.79742720156</v>
      </c>
      <c r="CL18" s="42">
        <v>1403649936</v>
      </c>
      <c r="CM18" s="51">
        <v>38536.703429118148</v>
      </c>
      <c r="CN18" s="42">
        <v>181952973</v>
      </c>
      <c r="CO18" s="51">
        <v>15457.62234555326</v>
      </c>
      <c r="CP18" s="42">
        <v>151100213</v>
      </c>
      <c r="CQ18" s="51">
        <v>13788.195946156739</v>
      </c>
      <c r="CR18" s="42">
        <v>256975800</v>
      </c>
      <c r="CS18" s="51">
        <v>46508.814106337668</v>
      </c>
      <c r="CT18" s="42">
        <v>2415186083</v>
      </c>
      <c r="CU18" s="51">
        <v>94630.266280201977</v>
      </c>
      <c r="CV18" s="42">
        <v>7902100372</v>
      </c>
      <c r="CW18" s="51">
        <v>95272.417503198594</v>
      </c>
      <c r="CX18" s="42">
        <v>2083467610</v>
      </c>
      <c r="CY18" s="51">
        <v>101708.62632833875</v>
      </c>
      <c r="CZ18" s="42">
        <v>753891748</v>
      </c>
      <c r="DA18" s="51">
        <v>166730.75906058389</v>
      </c>
      <c r="DB18" s="42">
        <v>162900418</v>
      </c>
      <c r="DC18" s="51">
        <v>16188.83645005906</v>
      </c>
      <c r="DD18" s="42">
        <v>214632891</v>
      </c>
      <c r="DE18" s="51">
        <v>29223.159464235676</v>
      </c>
      <c r="DF18" s="42">
        <v>312319730</v>
      </c>
      <c r="DG18" s="51">
        <v>28575.216097459448</v>
      </c>
      <c r="DH18" s="42">
        <v>1483111519.5</v>
      </c>
      <c r="DI18" s="51">
        <v>186225.42561768135</v>
      </c>
      <c r="DJ18" s="42">
        <v>526049869.5</v>
      </c>
      <c r="DK18" s="51">
        <v>30641.722990966522</v>
      </c>
      <c r="DL18" s="42">
        <v>853716551</v>
      </c>
      <c r="DM18" s="51">
        <v>28243.061608548327</v>
      </c>
      <c r="DN18" s="42">
        <v>2965823708</v>
      </c>
      <c r="DO18" s="51">
        <v>160083.57634055847</v>
      </c>
      <c r="DP18" s="42">
        <v>2969623364</v>
      </c>
      <c r="DQ18" s="51">
        <v>138666.14851038056</v>
      </c>
      <c r="DR18" s="42">
        <v>9850396632</v>
      </c>
      <c r="DS18" s="51">
        <v>131748.43492871648</v>
      </c>
      <c r="DT18" s="42">
        <v>596640777.75</v>
      </c>
      <c r="DU18" s="51">
        <v>36715.708167317563</v>
      </c>
      <c r="DV18" s="42">
        <v>1877857540</v>
      </c>
      <c r="DW18" s="51">
        <v>65479.756972528936</v>
      </c>
      <c r="DX18" s="42">
        <v>696740642</v>
      </c>
      <c r="DY18" s="51">
        <v>84292.632108537029</v>
      </c>
      <c r="DZ18" s="42">
        <v>1100907691</v>
      </c>
      <c r="EA18" s="51">
        <v>66244.161308659735</v>
      </c>
      <c r="EB18" s="42">
        <v>3157013406</v>
      </c>
      <c r="EC18" s="51">
        <v>99513.999309296545</v>
      </c>
      <c r="ED18" s="42">
        <v>1209234748</v>
      </c>
      <c r="EE18" s="51">
        <v>102756.26742943958</v>
      </c>
      <c r="EF18" s="42">
        <v>7177325797</v>
      </c>
      <c r="EG18" s="51">
        <f>EF18/EF13</f>
        <v>204127.46500383949</v>
      </c>
      <c r="EH18" s="42">
        <v>2138878375</v>
      </c>
      <c r="EI18" s="51">
        <v>202067.25399895853</v>
      </c>
      <c r="EJ18" s="42">
        <v>2182323540</v>
      </c>
      <c r="EK18" s="51">
        <v>76096.302297047005</v>
      </c>
      <c r="EL18" s="42">
        <v>550640155</v>
      </c>
      <c r="EM18" s="51">
        <v>36347.632278821096</v>
      </c>
      <c r="EN18" s="42">
        <v>24466249134</v>
      </c>
      <c r="EO18" s="51">
        <v>167018.80474781562</v>
      </c>
      <c r="EP18" s="42">
        <v>825567027</v>
      </c>
      <c r="EQ18" s="51">
        <v>48252.47019614045</v>
      </c>
      <c r="ER18" s="42">
        <v>876877001.5</v>
      </c>
      <c r="ES18" s="51">
        <v>42106.638904040992</v>
      </c>
      <c r="ET18" s="42">
        <v>2295738305.5</v>
      </c>
      <c r="EU18" s="51">
        <v>43893.360087483365</v>
      </c>
      <c r="EV18" s="42">
        <v>9741744339</v>
      </c>
      <c r="EW18" s="51">
        <v>324385.00382927858</v>
      </c>
      <c r="EX18" s="42">
        <v>789881017</v>
      </c>
      <c r="EY18" s="51">
        <v>45076.451215277586</v>
      </c>
      <c r="EZ18" s="42">
        <v>591693309</v>
      </c>
      <c r="FA18" s="51">
        <v>30844.605149645347</v>
      </c>
      <c r="FB18" s="42">
        <v>5203926326.071661</v>
      </c>
      <c r="FC18" s="51">
        <v>143544.34630468464</v>
      </c>
      <c r="FD18" s="42">
        <v>1132965493</v>
      </c>
      <c r="FE18" s="51">
        <v>60412.886746877215</v>
      </c>
      <c r="FF18" s="42">
        <v>5317976830.5</v>
      </c>
      <c r="FG18" s="51">
        <v>126445.96008036938</v>
      </c>
      <c r="FH18" s="42">
        <v>2723321816.333333</v>
      </c>
      <c r="FI18" s="51">
        <v>355262.80055635789</v>
      </c>
      <c r="FJ18" s="42">
        <v>557927964</v>
      </c>
      <c r="FK18" s="51">
        <v>62566.513904515079</v>
      </c>
      <c r="FL18" s="42">
        <v>2630585770.2603431</v>
      </c>
      <c r="FM18" s="51">
        <v>122864.25167019019</v>
      </c>
      <c r="FN18" s="42">
        <v>643198450</v>
      </c>
      <c r="FO18" s="51">
        <v>247199.66378034506</v>
      </c>
      <c r="FP18" s="39">
        <v>1622159933</v>
      </c>
      <c r="FQ18" s="51">
        <v>42374.052182917811</v>
      </c>
      <c r="FR18" s="42">
        <v>118557665</v>
      </c>
      <c r="FS18" s="51">
        <v>83336.082432202544</v>
      </c>
      <c r="FT18" s="42">
        <v>1074160989.5527112</v>
      </c>
      <c r="FU18" s="51">
        <v>60726.533981208064</v>
      </c>
      <c r="FV18" s="42">
        <v>6906995816.6381388</v>
      </c>
      <c r="FW18" s="51">
        <v>164574.77258387298</v>
      </c>
      <c r="FX18" s="42">
        <v>1370888317.4899092</v>
      </c>
      <c r="FY18" s="51">
        <v>38352.871401393648</v>
      </c>
      <c r="FZ18" s="42">
        <v>603018718.6942482</v>
      </c>
      <c r="GA18" s="51">
        <v>30856.109531310201</v>
      </c>
      <c r="GB18" s="42">
        <v>2428273990.8414679</v>
      </c>
      <c r="GC18" s="51">
        <v>46842.82904007435</v>
      </c>
      <c r="GD18" s="42">
        <v>3563820851.2956772</v>
      </c>
      <c r="GE18" s="51">
        <v>103128.34470026215</v>
      </c>
      <c r="GF18" s="42">
        <v>4241962834.7209139</v>
      </c>
      <c r="GG18" s="51">
        <v>103956.58993375963</v>
      </c>
      <c r="GH18" s="42">
        <v>1049569856.34492</v>
      </c>
      <c r="GI18" s="51">
        <v>38933.957997735379</v>
      </c>
      <c r="GJ18" s="42">
        <v>1485535917.9818366</v>
      </c>
      <c r="GK18" s="51">
        <v>102596.44972145811</v>
      </c>
      <c r="GL18" s="42">
        <v>2221054587.4648681</v>
      </c>
      <c r="GM18" s="51">
        <v>47183.900526961748</v>
      </c>
      <c r="GN18" s="42">
        <v>3028558900.2744703</v>
      </c>
      <c r="GO18" s="51">
        <v>143673.68710819317</v>
      </c>
      <c r="GP18" s="42">
        <v>3044372557.1956263</v>
      </c>
      <c r="GQ18" s="51">
        <v>156246.98111789685</v>
      </c>
      <c r="GR18" s="42">
        <v>2381383887.9458814</v>
      </c>
      <c r="GS18" s="51">
        <v>66807.926752193685</v>
      </c>
      <c r="GT18" s="42">
        <v>2648517730.637558</v>
      </c>
      <c r="GU18" s="51">
        <v>252003.39614827192</v>
      </c>
      <c r="GV18" s="42">
        <v>2954013105.6932392</v>
      </c>
      <c r="GW18" s="51">
        <v>138112.4165530607</v>
      </c>
      <c r="GX18" s="42">
        <v>241177039.43289608</v>
      </c>
      <c r="GY18" s="51">
        <v>22015.879410097416</v>
      </c>
      <c r="GZ18" s="42">
        <v>419793083.37105</v>
      </c>
      <c r="HA18" s="51">
        <v>38306.956525344867</v>
      </c>
    </row>
    <row r="19" spans="1:209" x14ac:dyDescent="0.3">
      <c r="A19" s="68" t="s">
        <v>456</v>
      </c>
      <c r="B19" s="54" t="s">
        <v>223</v>
      </c>
      <c r="C19" s="55"/>
      <c r="D19" s="56">
        <v>13780776782</v>
      </c>
      <c r="E19" s="57">
        <v>503234.00895524176</v>
      </c>
      <c r="F19" s="58">
        <v>21175826996</v>
      </c>
      <c r="G19" s="59">
        <v>290067.3452484638</v>
      </c>
      <c r="H19" s="58">
        <v>11694747733</v>
      </c>
      <c r="I19" s="59">
        <v>299152.36341733858</v>
      </c>
      <c r="J19" s="56">
        <v>12245080525</v>
      </c>
      <c r="K19" s="57">
        <v>289855.61902478221</v>
      </c>
      <c r="L19" s="56">
        <v>7092025010</v>
      </c>
      <c r="M19" s="57">
        <v>469250.32800860965</v>
      </c>
      <c r="N19" s="56">
        <v>10485378461</v>
      </c>
      <c r="O19" s="57">
        <v>268948.71842181694</v>
      </c>
      <c r="P19" s="56">
        <v>22624013217</v>
      </c>
      <c r="Q19" s="57">
        <v>527505.50926859363</v>
      </c>
      <c r="R19" s="56">
        <v>23460256702</v>
      </c>
      <c r="S19" s="57">
        <v>338017.8286396467</v>
      </c>
      <c r="T19" s="56">
        <v>23673647181.647938</v>
      </c>
      <c r="U19" s="57">
        <v>349864.79346567969</v>
      </c>
      <c r="V19" s="56">
        <v>14022261666</v>
      </c>
      <c r="W19" s="57">
        <v>310813.35388573317</v>
      </c>
      <c r="X19" s="56">
        <v>10192799134.694109</v>
      </c>
      <c r="Y19" s="57">
        <v>357444.71551192697</v>
      </c>
      <c r="Z19" s="56">
        <v>8621811295</v>
      </c>
      <c r="AA19" s="57">
        <v>373556.00954392762</v>
      </c>
      <c r="AB19" s="56">
        <v>54142102462</v>
      </c>
      <c r="AC19" s="57">
        <v>330762.06957996282</v>
      </c>
      <c r="AD19" s="56">
        <v>5396926886</v>
      </c>
      <c r="AE19" s="57">
        <v>226050.69476479301</v>
      </c>
      <c r="AF19" s="56">
        <v>4894674099.4784317</v>
      </c>
      <c r="AG19" s="57">
        <v>218257.93236447201</v>
      </c>
      <c r="AH19" s="56">
        <v>16840430789.176424</v>
      </c>
      <c r="AI19" s="57">
        <v>336994.77353951527</v>
      </c>
      <c r="AJ19" s="56">
        <v>7623138190</v>
      </c>
      <c r="AK19" s="57">
        <v>712215.66068359418</v>
      </c>
      <c r="AL19" s="56">
        <v>6398622526</v>
      </c>
      <c r="AM19" s="57">
        <v>423932.14176219102</v>
      </c>
      <c r="AN19" s="56">
        <v>6299102248.9322014</v>
      </c>
      <c r="AO19" s="57">
        <v>392469.42702357681</v>
      </c>
      <c r="AP19" s="56">
        <v>5727457809</v>
      </c>
      <c r="AQ19" s="57">
        <v>189383.74704646823</v>
      </c>
      <c r="AR19" s="56">
        <v>23221157669</v>
      </c>
      <c r="AS19" s="57">
        <v>313398.6947312422</v>
      </c>
      <c r="AT19" s="56">
        <v>13922516901</v>
      </c>
      <c r="AU19" s="57">
        <v>336467.40270018548</v>
      </c>
      <c r="AV19" s="56">
        <v>23490779848.656776</v>
      </c>
      <c r="AW19" s="57">
        <v>418327.90610490937</v>
      </c>
      <c r="AX19" s="56">
        <v>95976039541</v>
      </c>
      <c r="AY19" s="57">
        <v>686218.25259303709</v>
      </c>
      <c r="AZ19" s="56">
        <v>17630163703</v>
      </c>
      <c r="BA19" s="57">
        <v>378070.21062219626</v>
      </c>
      <c r="BB19" s="56">
        <v>12801330143</v>
      </c>
      <c r="BC19" s="57">
        <v>200339.96138394563</v>
      </c>
      <c r="BD19" s="56">
        <v>19259440918</v>
      </c>
      <c r="BE19" s="57">
        <v>363320.56477631896</v>
      </c>
      <c r="BF19" s="56">
        <v>4632421484</v>
      </c>
      <c r="BG19" s="57">
        <v>208861.60292881273</v>
      </c>
      <c r="BH19" s="56">
        <v>9954141841</v>
      </c>
      <c r="BI19" s="57">
        <v>194615.07483077195</v>
      </c>
      <c r="BJ19" s="56">
        <v>10020157705</v>
      </c>
      <c r="BK19" s="57">
        <v>189652.90471660861</v>
      </c>
      <c r="BL19" s="56">
        <v>13023171920.0481</v>
      </c>
      <c r="BM19" s="57">
        <v>430522.20739941916</v>
      </c>
      <c r="BN19" s="56">
        <v>5521459451</v>
      </c>
      <c r="BO19" s="57">
        <v>212690.32081999368</v>
      </c>
      <c r="BP19" s="56">
        <v>17447975405</v>
      </c>
      <c r="BQ19" s="57">
        <v>362436.56109324674</v>
      </c>
      <c r="BR19" s="56">
        <v>24421374008</v>
      </c>
      <c r="BS19" s="57">
        <v>341160.91586046637</v>
      </c>
      <c r="BT19" s="56">
        <v>40946489959</v>
      </c>
      <c r="BU19" s="57">
        <v>273559.83064272121</v>
      </c>
      <c r="BV19" s="56">
        <v>35002709172</v>
      </c>
      <c r="BW19" s="57">
        <v>290675.44682559691</v>
      </c>
      <c r="BX19" s="56">
        <v>4325906423</v>
      </c>
      <c r="BY19" s="57">
        <v>267080.68964447587</v>
      </c>
      <c r="BZ19" s="56">
        <v>12956112817</v>
      </c>
      <c r="CA19" s="57">
        <v>362968.21005490416</v>
      </c>
      <c r="CB19" s="56">
        <v>23155244272</v>
      </c>
      <c r="CC19" s="57">
        <v>356496.38205578015</v>
      </c>
      <c r="CD19" s="56">
        <v>6210367622</v>
      </c>
      <c r="CE19" s="57">
        <v>240722.45911314932</v>
      </c>
      <c r="CF19" s="56">
        <v>14276779619</v>
      </c>
      <c r="CG19" s="57">
        <v>248105.29673807861</v>
      </c>
      <c r="CH19" s="56">
        <v>6425459933</v>
      </c>
      <c r="CI19" s="57">
        <v>212875.03575737326</v>
      </c>
      <c r="CJ19" s="56">
        <v>68918905015.454529</v>
      </c>
      <c r="CK19" s="57">
        <v>299092.47053033754</v>
      </c>
      <c r="CL19" s="56">
        <v>25437716394</v>
      </c>
      <c r="CM19" s="57">
        <v>213731.96895480377</v>
      </c>
      <c r="CN19" s="56">
        <v>7544205309</v>
      </c>
      <c r="CO19" s="57">
        <v>210560.53826666041</v>
      </c>
      <c r="CP19" s="56">
        <v>7395944669</v>
      </c>
      <c r="CQ19" s="57">
        <v>208707.2898792201</v>
      </c>
      <c r="CR19" s="56">
        <v>7625839616.1725006</v>
      </c>
      <c r="CS19" s="57">
        <v>508964.00690582854</v>
      </c>
      <c r="CT19" s="56">
        <v>28269152256</v>
      </c>
      <c r="CU19" s="57">
        <v>312429.79382096458</v>
      </c>
      <c r="CV19" s="56">
        <v>102267825235</v>
      </c>
      <c r="CW19" s="57">
        <v>434331.53745545459</v>
      </c>
      <c r="CX19" s="56">
        <v>27367936100</v>
      </c>
      <c r="CY19" s="57">
        <v>422488.03079404228</v>
      </c>
      <c r="CZ19" s="56">
        <v>9995886412.2600002</v>
      </c>
      <c r="DA19" s="57">
        <v>682354.84673460713</v>
      </c>
      <c r="DB19" s="56">
        <v>6469962473</v>
      </c>
      <c r="DC19" s="57">
        <v>211379.75987298819</v>
      </c>
      <c r="DD19" s="56">
        <v>5269581254</v>
      </c>
      <c r="DE19" s="57">
        <v>218325.72872947459</v>
      </c>
      <c r="DF19" s="56">
        <v>6862900649</v>
      </c>
      <c r="DG19" s="57">
        <v>194474.77737790436</v>
      </c>
      <c r="DH19" s="56">
        <v>10671328910.5</v>
      </c>
      <c r="DI19" s="57">
        <v>491014.20920062548</v>
      </c>
      <c r="DJ19" s="56">
        <v>32052670585.085938</v>
      </c>
      <c r="DK19" s="57">
        <v>448170.2253637971</v>
      </c>
      <c r="DL19" s="56">
        <v>18880190493</v>
      </c>
      <c r="DM19" s="57">
        <v>181110.85691233957</v>
      </c>
      <c r="DN19" s="56">
        <v>27787249432.400002</v>
      </c>
      <c r="DO19" s="57">
        <v>515291.42738471238</v>
      </c>
      <c r="DP19" s="56">
        <v>20192775196</v>
      </c>
      <c r="DQ19" s="57">
        <v>366405.60972629773</v>
      </c>
      <c r="DR19" s="56">
        <v>67874806981</v>
      </c>
      <c r="DS19" s="57">
        <v>365226.06437887461</v>
      </c>
      <c r="DT19" s="56">
        <v>9445243569.75</v>
      </c>
      <c r="DU19" s="57">
        <v>188093.9387842493</v>
      </c>
      <c r="DV19" s="56">
        <v>40678333176</v>
      </c>
      <c r="DW19" s="57">
        <v>503659.35205014359</v>
      </c>
      <c r="DX19" s="56">
        <v>6716523125</v>
      </c>
      <c r="DY19" s="57">
        <v>246097.44181511848</v>
      </c>
      <c r="DZ19" s="56">
        <v>14165360467</v>
      </c>
      <c r="EA19" s="57">
        <v>250539.98036444923</v>
      </c>
      <c r="EB19" s="56">
        <v>28578081199</v>
      </c>
      <c r="EC19" s="57">
        <v>312375.21981094626</v>
      </c>
      <c r="ED19" s="56">
        <v>9650508963</v>
      </c>
      <c r="EE19" s="57">
        <v>307628.02262985293</v>
      </c>
      <c r="EF19" s="56">
        <f>SUM(EF15:EF18)</f>
        <v>36522928478</v>
      </c>
      <c r="EG19" s="57"/>
      <c r="EH19" s="56">
        <v>11975259687</v>
      </c>
      <c r="EI19" s="57">
        <v>500443.55126308528</v>
      </c>
      <c r="EJ19" s="56">
        <v>40957976756</v>
      </c>
      <c r="EK19" s="57">
        <v>507121.76295322558</v>
      </c>
      <c r="EL19" s="56">
        <v>8516363857</v>
      </c>
      <c r="EM19" s="57">
        <v>195973.26546845635</v>
      </c>
      <c r="EN19" s="56">
        <v>149644838776</v>
      </c>
      <c r="EO19" s="57">
        <v>398788.6070564072</v>
      </c>
      <c r="EP19" s="56">
        <v>10142119741</v>
      </c>
      <c r="EQ19" s="57">
        <v>197414.38159372465</v>
      </c>
      <c r="ER19" s="56">
        <v>20084620863.674999</v>
      </c>
      <c r="ES19" s="57">
        <v>256766.29087177871</v>
      </c>
      <c r="ET19" s="56">
        <v>64811294921.130501</v>
      </c>
      <c r="EU19" s="57">
        <v>331832.75555268256</v>
      </c>
      <c r="EV19" s="56">
        <v>44073106297</v>
      </c>
      <c r="EW19" s="57">
        <v>541042.68190269871</v>
      </c>
      <c r="EX19" s="56">
        <v>10917730328</v>
      </c>
      <c r="EY19" s="57">
        <v>206445.49073818047</v>
      </c>
      <c r="EZ19" s="56">
        <v>16335285462.200001</v>
      </c>
      <c r="FA19" s="57">
        <v>254234.23704671502</v>
      </c>
      <c r="FB19" s="56">
        <v>44442897427.022438</v>
      </c>
      <c r="FC19" s="57">
        <v>372835.96075041057</v>
      </c>
      <c r="FD19" s="56">
        <v>12364179253</v>
      </c>
      <c r="FE19" s="57">
        <v>198964.63423031289</v>
      </c>
      <c r="FF19" s="56">
        <v>40950481334.537506</v>
      </c>
      <c r="FG19" s="57">
        <v>347670.39125803066</v>
      </c>
      <c r="FH19" s="56">
        <v>19728808432.775547</v>
      </c>
      <c r="FI19" s="57">
        <v>654663.02878922946</v>
      </c>
      <c r="FJ19" s="56">
        <v>5477723235</v>
      </c>
      <c r="FK19" s="57">
        <v>207449.39248783365</v>
      </c>
      <c r="FL19" s="56">
        <v>27333394999.440342</v>
      </c>
      <c r="FM19" s="57">
        <v>411580.80114142783</v>
      </c>
      <c r="FN19" s="56">
        <v>4993409566</v>
      </c>
      <c r="FO19" s="57">
        <v>877151.64762216713</v>
      </c>
      <c r="FP19" s="60">
        <v>31823185371</v>
      </c>
      <c r="FQ19" s="61">
        <v>242541.00998625046</v>
      </c>
      <c r="FR19" s="56">
        <v>2642830909</v>
      </c>
      <c r="FS19" s="57">
        <v>1038681.30160132</v>
      </c>
      <c r="FT19" s="56">
        <v>14141812238.592712</v>
      </c>
      <c r="FU19" s="57">
        <v>250123.48742051583</v>
      </c>
      <c r="FV19" s="56">
        <v>50677162422.428139</v>
      </c>
      <c r="FW19" s="57">
        <v>389159.29443549912</v>
      </c>
      <c r="FX19" s="56">
        <v>22000218126.729912</v>
      </c>
      <c r="FY19" s="57">
        <v>234821.31398766831</v>
      </c>
      <c r="FZ19" s="56">
        <v>20300416764.194248</v>
      </c>
      <c r="GA19" s="57">
        <v>260178.89517679275</v>
      </c>
      <c r="GB19" s="56">
        <v>61309196535.85672</v>
      </c>
      <c r="GC19" s="57">
        <v>315118.39738869813</v>
      </c>
      <c r="GD19" s="56">
        <v>59599415339.21804</v>
      </c>
      <c r="GE19" s="57">
        <v>464500.07951751328</v>
      </c>
      <c r="GF19" s="56">
        <v>35841399916.360916</v>
      </c>
      <c r="GG19" s="57">
        <v>304557.94171763258</v>
      </c>
      <c r="GH19" s="56">
        <v>16586733506.344919</v>
      </c>
      <c r="GI19" s="57">
        <v>196993.10493272654</v>
      </c>
      <c r="GJ19" s="56">
        <v>12692590102.301836</v>
      </c>
      <c r="GK19" s="57">
        <v>307003.78417934512</v>
      </c>
      <c r="GL19" s="56">
        <v>32322082092.904869</v>
      </c>
      <c r="GM19" s="57">
        <v>239500.52203041405</v>
      </c>
      <c r="GN19" s="56">
        <v>28697188500.134472</v>
      </c>
      <c r="GO19" s="57">
        <v>411779.57451168547</v>
      </c>
      <c r="GP19" s="56">
        <v>19326655316.358368</v>
      </c>
      <c r="GQ19" s="57">
        <v>349444.60096441751</v>
      </c>
      <c r="GR19" s="56">
        <v>44344021495.74588</v>
      </c>
      <c r="GS19" s="57">
        <v>346521.78748147195</v>
      </c>
      <c r="GT19" s="56">
        <v>22223145476.357559</v>
      </c>
      <c r="GU19" s="57">
        <v>638550.45299618528</v>
      </c>
      <c r="GV19" s="56">
        <v>20546890068.013237</v>
      </c>
      <c r="GW19" s="57">
        <v>374028.27730485052</v>
      </c>
      <c r="GX19" s="56">
        <v>7071380181.2328959</v>
      </c>
      <c r="GY19" s="57">
        <v>207885.962552977</v>
      </c>
      <c r="GZ19" s="56">
        <v>7607667580.3710499</v>
      </c>
      <c r="HA19" s="57">
        <v>214681.93098528517</v>
      </c>
    </row>
    <row r="20" spans="1:209" x14ac:dyDescent="0.3">
      <c r="A20" s="49" t="s">
        <v>454</v>
      </c>
      <c r="B20" s="50"/>
      <c r="C20" s="41" t="s">
        <v>224</v>
      </c>
      <c r="D20" s="62">
        <v>891494400</v>
      </c>
      <c r="E20" s="63">
        <v>1466273.6842105263</v>
      </c>
      <c r="F20" s="22">
        <v>1963919600</v>
      </c>
      <c r="G20" s="64">
        <v>1566124.0829346091</v>
      </c>
      <c r="H20" s="65">
        <v>1317988000</v>
      </c>
      <c r="I20" s="64">
        <v>1599500</v>
      </c>
      <c r="J20" s="62">
        <v>1200097500</v>
      </c>
      <c r="K20" s="63">
        <v>1650753.0949105914</v>
      </c>
      <c r="L20" s="62">
        <v>1929629000</v>
      </c>
      <c r="M20" s="63">
        <v>7687764.9402390439</v>
      </c>
      <c r="N20" s="62">
        <v>1126048000</v>
      </c>
      <c r="O20" s="63">
        <v>1599500</v>
      </c>
      <c r="P20" s="62">
        <v>1849434600</v>
      </c>
      <c r="Q20" s="63">
        <v>2061800</v>
      </c>
      <c r="R20" s="62">
        <v>3018354200</v>
      </c>
      <c r="S20" s="63">
        <v>1637739.6635919695</v>
      </c>
      <c r="T20" s="62">
        <v>2627556100</v>
      </c>
      <c r="U20" s="63">
        <v>1764644.7951645399</v>
      </c>
      <c r="V20" s="62">
        <v>1441050700</v>
      </c>
      <c r="W20" s="63">
        <v>1738300</v>
      </c>
      <c r="X20" s="62">
        <v>994195500</v>
      </c>
      <c r="Y20" s="63">
        <v>1687938.0305602716</v>
      </c>
      <c r="Z20" s="62">
        <v>912607500</v>
      </c>
      <c r="AA20" s="63">
        <v>1738300</v>
      </c>
      <c r="AB20" s="62">
        <v>16977307100</v>
      </c>
      <c r="AC20" s="63">
        <v>4926670.6616366804</v>
      </c>
      <c r="AD20" s="62">
        <v>807798400</v>
      </c>
      <c r="AE20" s="63">
        <v>1823472.6862302483</v>
      </c>
      <c r="AF20" s="62">
        <v>777020100</v>
      </c>
      <c r="AG20" s="63">
        <v>1738300</v>
      </c>
      <c r="AH20" s="62">
        <v>2235990700</v>
      </c>
      <c r="AI20" s="63">
        <v>2227082.3705179282</v>
      </c>
      <c r="AJ20" s="62">
        <v>425535840</v>
      </c>
      <c r="AK20" s="63">
        <v>2085960</v>
      </c>
      <c r="AL20" s="62">
        <v>1046240500</v>
      </c>
      <c r="AM20" s="63">
        <v>3645437.2822299651</v>
      </c>
      <c r="AN20" s="62">
        <v>558133500</v>
      </c>
      <c r="AO20" s="63">
        <v>1617778.2608695652</v>
      </c>
      <c r="AP20" s="62">
        <v>1006475700</v>
      </c>
      <c r="AQ20" s="63">
        <v>1738300</v>
      </c>
      <c r="AR20" s="62">
        <v>2676598100</v>
      </c>
      <c r="AS20" s="63">
        <v>1653241.5688696727</v>
      </c>
      <c r="AT20" s="62">
        <v>1453057800</v>
      </c>
      <c r="AU20" s="63">
        <v>1603816.5562913907</v>
      </c>
      <c r="AV20" s="62">
        <v>1549113200</v>
      </c>
      <c r="AW20" s="63">
        <v>1683818.6956521738</v>
      </c>
      <c r="AX20" s="62">
        <v>5247032400</v>
      </c>
      <c r="AY20" s="63">
        <v>2622205.0974512743</v>
      </c>
      <c r="AZ20" s="62">
        <v>1700349200</v>
      </c>
      <c r="BA20" s="63">
        <v>1765679.3354101765</v>
      </c>
      <c r="BB20" s="62">
        <v>1841821200</v>
      </c>
      <c r="BC20" s="63">
        <v>1843664.8648648649</v>
      </c>
      <c r="BD20" s="62">
        <v>1825782000</v>
      </c>
      <c r="BE20" s="63">
        <v>1822137.7245508982</v>
      </c>
      <c r="BF20" s="62">
        <v>634761200</v>
      </c>
      <c r="BG20" s="63">
        <v>1818800</v>
      </c>
      <c r="BH20" s="62">
        <v>1607819200</v>
      </c>
      <c r="BI20" s="63">
        <v>1818800</v>
      </c>
      <c r="BJ20" s="62">
        <v>1660128200</v>
      </c>
      <c r="BK20" s="63">
        <v>1953092</v>
      </c>
      <c r="BL20" s="62">
        <v>2712877800</v>
      </c>
      <c r="BM20" s="63">
        <v>4418367.7524429969</v>
      </c>
      <c r="BN20" s="62">
        <v>776627600</v>
      </c>
      <c r="BO20" s="63">
        <v>1818800</v>
      </c>
      <c r="BP20" s="62">
        <v>2021851800</v>
      </c>
      <c r="BQ20" s="63">
        <v>1988054.8672566372</v>
      </c>
      <c r="BR20" s="62">
        <v>3764457600</v>
      </c>
      <c r="BS20" s="63">
        <v>2441282.4902723734</v>
      </c>
      <c r="BT20" s="62">
        <v>19038558000</v>
      </c>
      <c r="BU20" s="63">
        <v>6363154.4117647056</v>
      </c>
      <c r="BV20" s="62">
        <v>4139299400</v>
      </c>
      <c r="BW20" s="63">
        <v>1859523.5399820306</v>
      </c>
      <c r="BX20" s="62">
        <v>534817200</v>
      </c>
      <c r="BY20" s="63">
        <v>1730800</v>
      </c>
      <c r="BZ20" s="62">
        <v>2776367400</v>
      </c>
      <c r="CA20" s="63">
        <v>3436098.2673267326</v>
      </c>
      <c r="CB20" s="62">
        <v>1739470920.0000002</v>
      </c>
      <c r="CC20" s="63">
        <v>1963285.4627539506</v>
      </c>
      <c r="CD20" s="62">
        <v>898285200</v>
      </c>
      <c r="CE20" s="63">
        <v>1730800</v>
      </c>
      <c r="CF20" s="62">
        <v>1717036000</v>
      </c>
      <c r="CG20" s="63">
        <v>1727400.402414487</v>
      </c>
      <c r="CH20" s="62">
        <v>984825200</v>
      </c>
      <c r="CI20" s="63">
        <v>1730800</v>
      </c>
      <c r="CJ20" s="62">
        <v>9232569600</v>
      </c>
      <c r="CK20" s="63">
        <v>2779220.2287778445</v>
      </c>
      <c r="CL20" s="62">
        <v>3932377600</v>
      </c>
      <c r="CM20" s="63">
        <v>1730800</v>
      </c>
      <c r="CN20" s="62">
        <v>1206367600</v>
      </c>
      <c r="CO20" s="63">
        <v>1730800</v>
      </c>
      <c r="CP20" s="62">
        <v>1391563200</v>
      </c>
      <c r="CQ20" s="63">
        <v>1730800</v>
      </c>
      <c r="CR20" s="62">
        <v>1797994800</v>
      </c>
      <c r="CS20" s="63">
        <v>3777300</v>
      </c>
      <c r="CT20" s="62">
        <v>5173539200</v>
      </c>
      <c r="CU20" s="63">
        <v>2588063.631815908</v>
      </c>
      <c r="CV20" s="62">
        <v>7006188420.000001</v>
      </c>
      <c r="CW20" s="63">
        <v>1842763.9189900055</v>
      </c>
      <c r="CX20" s="62">
        <v>1842799600</v>
      </c>
      <c r="CY20" s="63">
        <v>1733583.8193791157</v>
      </c>
      <c r="CZ20" s="62">
        <v>368321800</v>
      </c>
      <c r="DA20" s="63">
        <v>1594466.6666666667</v>
      </c>
      <c r="DB20" s="62">
        <v>1071481600</v>
      </c>
      <c r="DC20" s="63">
        <v>1750786.9281045753</v>
      </c>
      <c r="DD20" s="62">
        <v>912937400</v>
      </c>
      <c r="DE20" s="63">
        <v>1851800</v>
      </c>
      <c r="DF20" s="62">
        <v>1214132000</v>
      </c>
      <c r="DG20" s="63">
        <v>1732000</v>
      </c>
      <c r="DH20" s="62">
        <v>3569187000</v>
      </c>
      <c r="DI20" s="63">
        <v>11702252.459016394</v>
      </c>
      <c r="DJ20" s="62">
        <v>1587765600</v>
      </c>
      <c r="DK20" s="63">
        <v>1712800</v>
      </c>
      <c r="DL20" s="62">
        <v>3062265400</v>
      </c>
      <c r="DM20" s="63">
        <v>1736962.7906976745</v>
      </c>
      <c r="DN20" s="62">
        <v>1544303200</v>
      </c>
      <c r="DO20" s="63">
        <v>1678590.4347826086</v>
      </c>
      <c r="DP20" s="62">
        <v>2222842400</v>
      </c>
      <c r="DQ20" s="63">
        <v>1953288.576449912</v>
      </c>
      <c r="DR20" s="62">
        <v>11450734000</v>
      </c>
      <c r="DS20" s="63">
        <v>3580592.2451532208</v>
      </c>
      <c r="DT20" s="62">
        <v>1632931200</v>
      </c>
      <c r="DU20" s="63">
        <v>1729800</v>
      </c>
      <c r="DV20" s="62">
        <v>2350768400</v>
      </c>
      <c r="DW20" s="63">
        <v>1660147.175141243</v>
      </c>
      <c r="DX20" s="62">
        <v>843437700</v>
      </c>
      <c r="DY20" s="63">
        <v>1757161.875</v>
      </c>
      <c r="DZ20" s="62">
        <v>1771650400</v>
      </c>
      <c r="EA20" s="63">
        <v>1791355.3083923154</v>
      </c>
      <c r="EB20" s="62">
        <v>3090915200</v>
      </c>
      <c r="EC20" s="63">
        <v>1659106.3875469672</v>
      </c>
      <c r="ED20" s="62">
        <v>909874800</v>
      </c>
      <c r="EE20" s="63">
        <v>1729800</v>
      </c>
      <c r="EF20" s="62">
        <v>6714887028</v>
      </c>
      <c r="EG20" s="63" t="e">
        <f>EF20/$EM$62</f>
        <v>#DIV/0!</v>
      </c>
      <c r="EH20" s="62">
        <v>1738895400</v>
      </c>
      <c r="EI20" s="63">
        <v>5701296.3934426233</v>
      </c>
      <c r="EJ20" s="62">
        <v>2350768400</v>
      </c>
      <c r="EK20" s="63">
        <v>1660147.175141243</v>
      </c>
      <c r="EL20" s="62">
        <v>1458221400</v>
      </c>
      <c r="EM20" s="63">
        <v>1729800</v>
      </c>
      <c r="EN20" s="62">
        <v>12377069200</v>
      </c>
      <c r="EO20" s="63">
        <v>1766386.3565006421</v>
      </c>
      <c r="EP20" s="62">
        <v>1747098000</v>
      </c>
      <c r="EQ20" s="63">
        <v>1729800</v>
      </c>
      <c r="ER20" s="62">
        <v>2096457000</v>
      </c>
      <c r="ES20" s="63">
        <v>1907604.185623294</v>
      </c>
      <c r="ET20" s="62">
        <v>5621024900</v>
      </c>
      <c r="EU20" s="63">
        <v>1747831.1256218906</v>
      </c>
      <c r="EV20" s="62">
        <v>5010898100</v>
      </c>
      <c r="EW20" s="63">
        <v>3551309.7802976612</v>
      </c>
      <c r="EX20" s="62">
        <v>1574784200</v>
      </c>
      <c r="EY20" s="63">
        <v>1852687.294117647</v>
      </c>
      <c r="EZ20" s="62">
        <v>1938496000</v>
      </c>
      <c r="FA20" s="63">
        <v>1730800</v>
      </c>
      <c r="FB20" s="62">
        <v>4598147800</v>
      </c>
      <c r="FC20" s="63">
        <v>1627662.9380530973</v>
      </c>
      <c r="FD20" s="62">
        <v>2026525800</v>
      </c>
      <c r="FE20" s="63">
        <v>1730594.1929974381</v>
      </c>
      <c r="FF20" s="62">
        <v>4608251600</v>
      </c>
      <c r="FG20" s="63">
        <v>1794490.4984423677</v>
      </c>
      <c r="FH20" s="62">
        <v>1005013800</v>
      </c>
      <c r="FI20" s="63">
        <v>1729800</v>
      </c>
      <c r="FJ20" s="62">
        <v>852791400</v>
      </c>
      <c r="FK20" s="63">
        <v>1729800</v>
      </c>
      <c r="FL20" s="62">
        <v>3662815600</v>
      </c>
      <c r="FM20" s="63">
        <v>2749861.5615615617</v>
      </c>
      <c r="FN20" s="62">
        <v>77924800</v>
      </c>
      <c r="FO20" s="63">
        <v>1498553.8461538462</v>
      </c>
      <c r="FP20" s="39">
        <v>4281935000</v>
      </c>
      <c r="FQ20" s="51">
        <v>1742040.2766476811</v>
      </c>
      <c r="FR20" s="62">
        <v>0</v>
      </c>
      <c r="FS20" s="63">
        <v>0</v>
      </c>
      <c r="FT20" s="62">
        <v>1707659200</v>
      </c>
      <c r="FU20" s="63">
        <v>1726652.3761375127</v>
      </c>
      <c r="FV20" s="62">
        <v>3807791000</v>
      </c>
      <c r="FW20" s="63">
        <v>1570223.0927835051</v>
      </c>
      <c r="FX20" s="62">
        <v>3538631200</v>
      </c>
      <c r="FY20" s="63">
        <v>1722800</v>
      </c>
      <c r="FZ20" s="62">
        <v>2413156700</v>
      </c>
      <c r="GA20" s="63">
        <v>2195774.9772520475</v>
      </c>
      <c r="GB20" s="62">
        <v>6162114800</v>
      </c>
      <c r="GC20" s="63">
        <v>1916080.4726368159</v>
      </c>
      <c r="GD20" s="62">
        <v>4406258100</v>
      </c>
      <c r="GE20" s="63">
        <v>1689516.1426380367</v>
      </c>
      <c r="GF20" s="62">
        <v>4690519200</v>
      </c>
      <c r="GG20" s="63">
        <v>2347607.2072072071</v>
      </c>
      <c r="GH20" s="62">
        <v>2727200000</v>
      </c>
      <c r="GI20" s="63">
        <v>1704500</v>
      </c>
      <c r="GJ20" s="62">
        <v>1307351500</v>
      </c>
      <c r="GK20" s="63">
        <v>1704500</v>
      </c>
      <c r="GL20" s="62">
        <v>4869756500</v>
      </c>
      <c r="GM20" s="63">
        <v>1704500</v>
      </c>
      <c r="GN20" s="62">
        <v>2318055400</v>
      </c>
      <c r="GO20" s="63">
        <v>1718350.9266123055</v>
      </c>
      <c r="GP20" s="62">
        <v>1634119700</v>
      </c>
      <c r="GQ20" s="63">
        <v>1718317.2450052577</v>
      </c>
      <c r="GR20" s="62">
        <v>3505780900</v>
      </c>
      <c r="GS20" s="63">
        <v>1722742.457002457</v>
      </c>
      <c r="GT20" s="62">
        <v>1066942800</v>
      </c>
      <c r="GU20" s="63">
        <v>1651614.2414860681</v>
      </c>
      <c r="GV20" s="62">
        <v>2268955800</v>
      </c>
      <c r="GW20" s="63">
        <v>1997320.2464788733</v>
      </c>
      <c r="GX20" s="62">
        <v>1206699500</v>
      </c>
      <c r="GY20" s="63">
        <v>1716500</v>
      </c>
      <c r="GZ20" s="62">
        <v>1427341200</v>
      </c>
      <c r="HA20" s="63">
        <v>1775300</v>
      </c>
    </row>
    <row r="21" spans="1:209" x14ac:dyDescent="0.3">
      <c r="A21" s="49" t="s">
        <v>454</v>
      </c>
      <c r="B21" s="66"/>
      <c r="C21" s="67" t="s">
        <v>225</v>
      </c>
      <c r="D21" s="62">
        <v>247154500</v>
      </c>
      <c r="E21" s="63">
        <v>406504.11184210528</v>
      </c>
      <c r="F21" s="22">
        <v>530597540</v>
      </c>
      <c r="G21" s="64">
        <v>423124.03508771933</v>
      </c>
      <c r="H21" s="65">
        <v>345457000</v>
      </c>
      <c r="I21" s="64">
        <v>419243.93203883496</v>
      </c>
      <c r="J21" s="62">
        <v>321257160</v>
      </c>
      <c r="K21" s="63">
        <v>441894.30536451167</v>
      </c>
      <c r="L21" s="62">
        <v>1067008785</v>
      </c>
      <c r="M21" s="63">
        <v>4251031.0159362545</v>
      </c>
      <c r="N21" s="62">
        <v>299200000</v>
      </c>
      <c r="O21" s="63">
        <v>425000</v>
      </c>
      <c r="P21" s="62">
        <v>358351500</v>
      </c>
      <c r="Q21" s="63">
        <v>399500</v>
      </c>
      <c r="R21" s="62">
        <v>3596351200</v>
      </c>
      <c r="S21" s="63">
        <v>1951357.1351058057</v>
      </c>
      <c r="T21" s="62">
        <v>972796800</v>
      </c>
      <c r="U21" s="63">
        <v>653322.22968435194</v>
      </c>
      <c r="V21" s="62">
        <v>527313600</v>
      </c>
      <c r="W21" s="63">
        <v>636083.95657418575</v>
      </c>
      <c r="X21" s="62">
        <v>336660000</v>
      </c>
      <c r="Y21" s="63">
        <v>571578.94736842101</v>
      </c>
      <c r="Z21" s="62">
        <v>365652000</v>
      </c>
      <c r="AA21" s="63">
        <v>696480</v>
      </c>
      <c r="AB21" s="62">
        <v>5703387700</v>
      </c>
      <c r="AC21" s="63">
        <v>1655074.7823563551</v>
      </c>
      <c r="AD21" s="62">
        <v>287220000</v>
      </c>
      <c r="AE21" s="63">
        <v>648352.14446952601</v>
      </c>
      <c r="AF21" s="62">
        <v>274284000</v>
      </c>
      <c r="AG21" s="63">
        <v>613610.7382550335</v>
      </c>
      <c r="AH21" s="62">
        <v>2663164900</v>
      </c>
      <c r="AI21" s="63">
        <v>2652554.6812749002</v>
      </c>
      <c r="AJ21" s="62">
        <v>144676800</v>
      </c>
      <c r="AK21" s="63">
        <v>709200</v>
      </c>
      <c r="AL21" s="62">
        <v>1069823100</v>
      </c>
      <c r="AM21" s="63">
        <v>3727606.6202090592</v>
      </c>
      <c r="AN21" s="62">
        <v>758867400</v>
      </c>
      <c r="AO21" s="63">
        <v>2199615.6521739131</v>
      </c>
      <c r="AP21" s="62">
        <v>346176000</v>
      </c>
      <c r="AQ21" s="63">
        <v>597886.01036269427</v>
      </c>
      <c r="AR21" s="62">
        <v>2728089400</v>
      </c>
      <c r="AS21" s="63">
        <v>1685045.9542927733</v>
      </c>
      <c r="AT21" s="62">
        <v>649704000</v>
      </c>
      <c r="AU21" s="63">
        <v>717112.58278145699</v>
      </c>
      <c r="AV21" s="62">
        <v>541704000</v>
      </c>
      <c r="AW21" s="63">
        <v>588808.69565217395</v>
      </c>
      <c r="AX21" s="62">
        <v>4167932224</v>
      </c>
      <c r="AY21" s="63">
        <v>2082924.6496751625</v>
      </c>
      <c r="AZ21" s="62">
        <v>569656800</v>
      </c>
      <c r="BA21" s="63">
        <v>591543.9252336449</v>
      </c>
      <c r="BB21" s="62">
        <v>639870144</v>
      </c>
      <c r="BC21" s="63">
        <v>640510.65465465467</v>
      </c>
      <c r="BD21" s="62">
        <v>2821028128</v>
      </c>
      <c r="BE21" s="63">
        <v>2815397.3333333335</v>
      </c>
      <c r="BF21" s="62">
        <v>224630400</v>
      </c>
      <c r="BG21" s="63">
        <v>643640.11461318051</v>
      </c>
      <c r="BH21" s="62">
        <v>553747200</v>
      </c>
      <c r="BI21" s="63">
        <v>626410.85972850677</v>
      </c>
      <c r="BJ21" s="62">
        <v>746057280</v>
      </c>
      <c r="BK21" s="63">
        <v>877714.44705882354</v>
      </c>
      <c r="BL21" s="62">
        <v>2572576900</v>
      </c>
      <c r="BM21" s="63">
        <v>4189864.657980456</v>
      </c>
      <c r="BN21" s="62">
        <v>256200000</v>
      </c>
      <c r="BO21" s="63">
        <v>600000</v>
      </c>
      <c r="BP21" s="62">
        <v>598082400</v>
      </c>
      <c r="BQ21" s="63">
        <v>588084.95575221244</v>
      </c>
      <c r="BR21" s="62">
        <v>3102217360</v>
      </c>
      <c r="BS21" s="63">
        <v>2011814.11154345</v>
      </c>
      <c r="BT21" s="62">
        <v>9885581720</v>
      </c>
      <c r="BU21" s="63">
        <v>3304004.5855614971</v>
      </c>
      <c r="BV21" s="62">
        <v>4789439700</v>
      </c>
      <c r="BW21" s="63">
        <v>2151590.1617250675</v>
      </c>
      <c r="BX21" s="62">
        <v>185400000</v>
      </c>
      <c r="BY21" s="63">
        <v>600000</v>
      </c>
      <c r="BZ21" s="62">
        <v>2076204000</v>
      </c>
      <c r="CA21" s="63">
        <v>2569559.4059405942</v>
      </c>
      <c r="CB21" s="62">
        <v>3497301137.52</v>
      </c>
      <c r="CC21" s="63">
        <v>3947292.4802708803</v>
      </c>
      <c r="CD21" s="62">
        <v>317767200</v>
      </c>
      <c r="CE21" s="63">
        <v>612268.20809248555</v>
      </c>
      <c r="CF21" s="62">
        <v>2353702300</v>
      </c>
      <c r="CG21" s="63">
        <v>2367909.758551308</v>
      </c>
      <c r="CH21" s="62">
        <v>340212000</v>
      </c>
      <c r="CI21" s="63">
        <v>597912.12653778563</v>
      </c>
      <c r="CJ21" s="62">
        <v>7754651344</v>
      </c>
      <c r="CK21" s="63">
        <v>2334332.132450331</v>
      </c>
      <c r="CL21" s="62">
        <v>1423665600</v>
      </c>
      <c r="CM21" s="63">
        <v>626613.38028169016</v>
      </c>
      <c r="CN21" s="62">
        <v>418200000</v>
      </c>
      <c r="CO21" s="63">
        <v>600000</v>
      </c>
      <c r="CP21" s="62">
        <v>469368000</v>
      </c>
      <c r="CQ21" s="63">
        <v>583791.04477611941</v>
      </c>
      <c r="CR21" s="62">
        <v>1926889650</v>
      </c>
      <c r="CS21" s="63">
        <v>4048087.5</v>
      </c>
      <c r="CT21" s="62">
        <v>2113497000</v>
      </c>
      <c r="CU21" s="63">
        <v>1057277.1385692847</v>
      </c>
      <c r="CV21" s="62">
        <v>12734506700</v>
      </c>
      <c r="CW21" s="63">
        <v>3349423.1194108366</v>
      </c>
      <c r="CX21" s="62">
        <v>865560000</v>
      </c>
      <c r="CY21" s="63">
        <v>814261.52398871118</v>
      </c>
      <c r="CZ21" s="62">
        <v>179412000</v>
      </c>
      <c r="DA21" s="63">
        <v>776675.32467532472</v>
      </c>
      <c r="DB21" s="62">
        <v>357650400</v>
      </c>
      <c r="DC21" s="63">
        <v>584396.07843137253</v>
      </c>
      <c r="DD21" s="62">
        <v>293424000</v>
      </c>
      <c r="DE21" s="63">
        <v>595180.52738336718</v>
      </c>
      <c r="DF21" s="62">
        <v>420600000</v>
      </c>
      <c r="DG21" s="63">
        <v>600000</v>
      </c>
      <c r="DH21" s="62">
        <v>2065074792</v>
      </c>
      <c r="DI21" s="63">
        <v>6770737.0229508197</v>
      </c>
      <c r="DJ21" s="62">
        <v>609580800</v>
      </c>
      <c r="DK21" s="63">
        <v>657584.46601941751</v>
      </c>
      <c r="DL21" s="62">
        <v>1288448064</v>
      </c>
      <c r="DM21" s="63">
        <v>730827.03573454334</v>
      </c>
      <c r="DN21" s="62">
        <v>768389760</v>
      </c>
      <c r="DO21" s="63">
        <v>835206.26086956519</v>
      </c>
      <c r="DP21" s="62">
        <v>1687707000</v>
      </c>
      <c r="DQ21" s="63">
        <v>1483046.5729349738</v>
      </c>
      <c r="DR21" s="62">
        <v>11462972160</v>
      </c>
      <c r="DS21" s="63">
        <v>3584419.0619136961</v>
      </c>
      <c r="DT21" s="62">
        <v>804288000</v>
      </c>
      <c r="DU21" s="63">
        <v>852000</v>
      </c>
      <c r="DV21" s="62">
        <v>764314368</v>
      </c>
      <c r="DW21" s="63">
        <v>539770.03389830503</v>
      </c>
      <c r="DX21" s="62">
        <v>292792320</v>
      </c>
      <c r="DY21" s="63">
        <v>609984</v>
      </c>
      <c r="DZ21" s="62">
        <v>612723552</v>
      </c>
      <c r="EA21" s="63">
        <v>619538.47522750252</v>
      </c>
      <c r="EB21" s="62">
        <v>3335675000</v>
      </c>
      <c r="EC21" s="63">
        <v>1790485.7756307032</v>
      </c>
      <c r="ED21" s="62">
        <v>458638200</v>
      </c>
      <c r="EE21" s="63">
        <v>871935.74144486687</v>
      </c>
      <c r="EF21" s="62">
        <v>5701955809</v>
      </c>
      <c r="EG21" s="63" t="e">
        <f>EF21/$EM$62</f>
        <v>#DIV/0!</v>
      </c>
      <c r="EH21" s="62">
        <v>299120160</v>
      </c>
      <c r="EI21" s="63">
        <v>980721.83606557373</v>
      </c>
      <c r="EJ21" s="62">
        <v>764314368</v>
      </c>
      <c r="EK21" s="63">
        <v>539770.03389830503</v>
      </c>
      <c r="EL21" s="62">
        <v>576612000</v>
      </c>
      <c r="EM21" s="63">
        <v>684000</v>
      </c>
      <c r="EN21" s="62">
        <v>4128001440</v>
      </c>
      <c r="EO21" s="63">
        <v>589125.3660625089</v>
      </c>
      <c r="EP21" s="62">
        <v>606000000</v>
      </c>
      <c r="EQ21" s="63">
        <v>600000</v>
      </c>
      <c r="ER21" s="62">
        <v>2140781568</v>
      </c>
      <c r="ES21" s="63">
        <v>1947935.9126478618</v>
      </c>
      <c r="ET21" s="62">
        <v>5684925312</v>
      </c>
      <c r="EU21" s="63">
        <v>1767700.656716418</v>
      </c>
      <c r="EV21" s="62">
        <v>3627829552</v>
      </c>
      <c r="EW21" s="63">
        <v>2571105.281360737</v>
      </c>
      <c r="EX21" s="62">
        <v>545816640</v>
      </c>
      <c r="EY21" s="63">
        <v>642137.22352941171</v>
      </c>
      <c r="EZ21" s="62">
        <v>857760000</v>
      </c>
      <c r="FA21" s="63">
        <v>765857.14285714284</v>
      </c>
      <c r="FB21" s="62">
        <v>3097546900</v>
      </c>
      <c r="FC21" s="63">
        <v>1096476.7787610618</v>
      </c>
      <c r="FD21" s="62">
        <v>732381504</v>
      </c>
      <c r="FE21" s="63">
        <v>625432.53970964986</v>
      </c>
      <c r="FF21" s="62">
        <v>5430277800</v>
      </c>
      <c r="FG21" s="63">
        <v>2114594.1588785048</v>
      </c>
      <c r="FH21" s="62">
        <v>397404000</v>
      </c>
      <c r="FI21" s="63">
        <v>684000</v>
      </c>
      <c r="FJ21" s="62">
        <v>300108960</v>
      </c>
      <c r="FK21" s="63">
        <v>608740.28397565917</v>
      </c>
      <c r="FL21" s="62">
        <v>3721064000</v>
      </c>
      <c r="FM21" s="63">
        <v>2793591.5915915915</v>
      </c>
      <c r="FN21" s="62">
        <v>82246656</v>
      </c>
      <c r="FO21" s="63">
        <v>1581666.4615384615</v>
      </c>
      <c r="FP21" s="39">
        <v>1499388480</v>
      </c>
      <c r="FQ21" s="51">
        <v>610003.44995931652</v>
      </c>
      <c r="FR21" s="62">
        <v>217022217.59999999</v>
      </c>
      <c r="FS21" s="63">
        <v>10851110.879999999</v>
      </c>
      <c r="FT21" s="62">
        <v>612723552</v>
      </c>
      <c r="FU21" s="63">
        <v>619538.47522750252</v>
      </c>
      <c r="FV21" s="62">
        <v>2857080200</v>
      </c>
      <c r="FW21" s="63">
        <v>1178177.4020618557</v>
      </c>
      <c r="FX21" s="62">
        <v>1201516800</v>
      </c>
      <c r="FY21" s="63">
        <v>584964.36222005845</v>
      </c>
      <c r="FZ21" s="62">
        <v>2796277881.6000004</v>
      </c>
      <c r="GA21" s="63">
        <v>2544383.8777070069</v>
      </c>
      <c r="GB21" s="62">
        <v>6723096230.3999996</v>
      </c>
      <c r="GC21" s="63">
        <v>2090514.9970149253</v>
      </c>
      <c r="GD21" s="62">
        <v>16863695256</v>
      </c>
      <c r="GE21" s="63">
        <v>6466140.8190184049</v>
      </c>
      <c r="GF21" s="62">
        <v>3445101756</v>
      </c>
      <c r="GG21" s="63">
        <v>1724275.1531531531</v>
      </c>
      <c r="GH21" s="62">
        <v>1143648000</v>
      </c>
      <c r="GI21" s="63">
        <v>714780</v>
      </c>
      <c r="GJ21" s="62">
        <v>629553600</v>
      </c>
      <c r="GK21" s="63">
        <v>820800</v>
      </c>
      <c r="GL21" s="62">
        <v>1999281600</v>
      </c>
      <c r="GM21" s="63">
        <v>699783.54917745886</v>
      </c>
      <c r="GN21" s="62">
        <v>989523648</v>
      </c>
      <c r="GO21" s="63">
        <v>733523.8309859155</v>
      </c>
      <c r="GP21" s="62">
        <v>743281920</v>
      </c>
      <c r="GQ21" s="63">
        <v>781579.30599369085</v>
      </c>
      <c r="GR21" s="62">
        <v>1699384320</v>
      </c>
      <c r="GS21" s="63">
        <v>835078.28992628993</v>
      </c>
      <c r="GT21" s="62">
        <v>768950400</v>
      </c>
      <c r="GU21" s="63">
        <v>1190325.6965944273</v>
      </c>
      <c r="GV21" s="62">
        <v>1639422000</v>
      </c>
      <c r="GW21" s="63">
        <v>1443153.1690140846</v>
      </c>
      <c r="GX21" s="62">
        <v>577022400</v>
      </c>
      <c r="GY21" s="63">
        <v>820800</v>
      </c>
      <c r="GZ21" s="62">
        <v>563241600</v>
      </c>
      <c r="HA21" s="63">
        <v>700549.25373134331</v>
      </c>
    </row>
    <row r="22" spans="1:209" x14ac:dyDescent="0.3">
      <c r="A22" s="49" t="s">
        <v>454</v>
      </c>
      <c r="B22" s="66"/>
      <c r="C22" s="67" t="s">
        <v>226</v>
      </c>
      <c r="D22" s="62">
        <v>0</v>
      </c>
      <c r="E22" s="63">
        <v>0</v>
      </c>
      <c r="F22" s="22">
        <v>0</v>
      </c>
      <c r="G22" s="64">
        <v>0</v>
      </c>
      <c r="H22" s="65">
        <v>0</v>
      </c>
      <c r="I22" s="64">
        <v>0</v>
      </c>
      <c r="J22" s="62">
        <v>0</v>
      </c>
      <c r="K22" s="63">
        <v>0</v>
      </c>
      <c r="L22" s="62">
        <v>0</v>
      </c>
      <c r="M22" s="63">
        <v>0</v>
      </c>
      <c r="N22" s="62">
        <v>0</v>
      </c>
      <c r="O22" s="63">
        <v>0</v>
      </c>
      <c r="P22" s="62">
        <v>0</v>
      </c>
      <c r="Q22" s="63">
        <v>0</v>
      </c>
      <c r="R22" s="62">
        <v>0</v>
      </c>
      <c r="S22" s="63">
        <v>0</v>
      </c>
      <c r="T22" s="62">
        <v>0</v>
      </c>
      <c r="U22" s="63">
        <v>0</v>
      </c>
      <c r="V22" s="62">
        <v>0</v>
      </c>
      <c r="W22" s="63">
        <v>0</v>
      </c>
      <c r="X22" s="62">
        <v>0</v>
      </c>
      <c r="Y22" s="63">
        <v>0</v>
      </c>
      <c r="Z22" s="62">
        <v>0</v>
      </c>
      <c r="AA22" s="63">
        <v>0</v>
      </c>
      <c r="AB22" s="62">
        <v>728100000</v>
      </c>
      <c r="AC22" s="63">
        <v>211288.45037724898</v>
      </c>
      <c r="AD22" s="62">
        <v>0</v>
      </c>
      <c r="AE22" s="63">
        <v>0</v>
      </c>
      <c r="AF22" s="62">
        <v>0</v>
      </c>
      <c r="AG22" s="63">
        <v>0</v>
      </c>
      <c r="AH22" s="62">
        <v>0</v>
      </c>
      <c r="AI22" s="63">
        <v>0</v>
      </c>
      <c r="AJ22" s="62">
        <v>0</v>
      </c>
      <c r="AK22" s="63">
        <v>0</v>
      </c>
      <c r="AL22" s="62">
        <v>0</v>
      </c>
      <c r="AM22" s="63">
        <v>0</v>
      </c>
      <c r="AN22" s="62">
        <v>0</v>
      </c>
      <c r="AO22" s="63">
        <v>0</v>
      </c>
      <c r="AP22" s="62">
        <v>0</v>
      </c>
      <c r="AQ22" s="63">
        <v>0</v>
      </c>
      <c r="AR22" s="62">
        <v>0</v>
      </c>
      <c r="AS22" s="63">
        <v>0</v>
      </c>
      <c r="AT22" s="62">
        <v>0</v>
      </c>
      <c r="AU22" s="63">
        <v>0</v>
      </c>
      <c r="AV22" s="62">
        <v>0</v>
      </c>
      <c r="AW22" s="63">
        <v>0</v>
      </c>
      <c r="AX22" s="62">
        <v>0</v>
      </c>
      <c r="AY22" s="63">
        <v>0</v>
      </c>
      <c r="AZ22" s="62">
        <v>0</v>
      </c>
      <c r="BA22" s="63">
        <v>0</v>
      </c>
      <c r="BB22" s="62">
        <v>0</v>
      </c>
      <c r="BC22" s="63">
        <v>0</v>
      </c>
      <c r="BD22" s="62">
        <v>0</v>
      </c>
      <c r="BE22" s="63">
        <v>0</v>
      </c>
      <c r="BF22" s="62">
        <v>0</v>
      </c>
      <c r="BG22" s="63">
        <v>0</v>
      </c>
      <c r="BH22" s="62">
        <v>0</v>
      </c>
      <c r="BI22" s="63">
        <v>0</v>
      </c>
      <c r="BJ22" s="62">
        <v>0</v>
      </c>
      <c r="BK22" s="63">
        <v>0</v>
      </c>
      <c r="BL22" s="62">
        <v>0</v>
      </c>
      <c r="BM22" s="63">
        <v>0</v>
      </c>
      <c r="BN22" s="62">
        <v>0</v>
      </c>
      <c r="BO22" s="63">
        <v>0</v>
      </c>
      <c r="BP22" s="62">
        <v>0</v>
      </c>
      <c r="BQ22" s="63">
        <v>0</v>
      </c>
      <c r="BR22" s="62">
        <v>255600000</v>
      </c>
      <c r="BS22" s="63">
        <v>165758.75486381323</v>
      </c>
      <c r="BT22" s="62">
        <v>0</v>
      </c>
      <c r="BU22" s="63">
        <v>0</v>
      </c>
      <c r="BV22" s="62">
        <v>0</v>
      </c>
      <c r="BW22" s="63">
        <v>0</v>
      </c>
      <c r="BX22" s="62">
        <v>0</v>
      </c>
      <c r="BY22" s="63">
        <v>0</v>
      </c>
      <c r="BZ22" s="62">
        <v>0</v>
      </c>
      <c r="CA22" s="63">
        <v>0</v>
      </c>
      <c r="CB22" s="62">
        <v>0</v>
      </c>
      <c r="CC22" s="63">
        <v>0</v>
      </c>
      <c r="CD22" s="62">
        <v>0</v>
      </c>
      <c r="CE22" s="63">
        <v>0</v>
      </c>
      <c r="CF22" s="62">
        <v>0</v>
      </c>
      <c r="CG22" s="63">
        <v>0</v>
      </c>
      <c r="CH22" s="62">
        <v>0</v>
      </c>
      <c r="CI22" s="63">
        <v>0</v>
      </c>
      <c r="CJ22" s="62">
        <v>0</v>
      </c>
      <c r="CK22" s="63">
        <v>0</v>
      </c>
      <c r="CL22" s="62">
        <v>0</v>
      </c>
      <c r="CM22" s="63">
        <v>0</v>
      </c>
      <c r="CN22" s="62">
        <v>0</v>
      </c>
      <c r="CO22" s="63">
        <v>0</v>
      </c>
      <c r="CP22" s="62">
        <v>0</v>
      </c>
      <c r="CQ22" s="63">
        <v>0</v>
      </c>
      <c r="CR22" s="62">
        <v>0</v>
      </c>
      <c r="CS22" s="63">
        <v>0</v>
      </c>
      <c r="CT22" s="62">
        <v>0</v>
      </c>
      <c r="CU22" s="63">
        <v>0</v>
      </c>
      <c r="CV22" s="62">
        <v>0</v>
      </c>
      <c r="CW22" s="63">
        <v>0</v>
      </c>
      <c r="CX22" s="62">
        <v>0</v>
      </c>
      <c r="CY22" s="63">
        <v>0</v>
      </c>
      <c r="CZ22" s="62">
        <v>0</v>
      </c>
      <c r="DA22" s="63">
        <v>0</v>
      </c>
      <c r="DB22" s="62">
        <v>0</v>
      </c>
      <c r="DC22" s="63">
        <v>0</v>
      </c>
      <c r="DD22" s="62">
        <v>0</v>
      </c>
      <c r="DE22" s="63">
        <v>0</v>
      </c>
      <c r="DF22" s="62">
        <v>0</v>
      </c>
      <c r="DG22" s="63">
        <v>0</v>
      </c>
      <c r="DH22" s="62">
        <v>0</v>
      </c>
      <c r="DI22" s="63">
        <v>0</v>
      </c>
      <c r="DJ22" s="62">
        <v>0</v>
      </c>
      <c r="DK22" s="63">
        <v>0</v>
      </c>
      <c r="DL22" s="62">
        <v>0</v>
      </c>
      <c r="DM22" s="63">
        <v>0</v>
      </c>
      <c r="DN22" s="62">
        <v>0</v>
      </c>
      <c r="DO22" s="63">
        <v>0</v>
      </c>
      <c r="DP22" s="62">
        <v>0</v>
      </c>
      <c r="DQ22" s="63">
        <v>0</v>
      </c>
      <c r="DR22" s="62">
        <v>0</v>
      </c>
      <c r="DS22" s="63">
        <v>0</v>
      </c>
      <c r="DT22" s="62">
        <v>0</v>
      </c>
      <c r="DU22" s="63">
        <v>0</v>
      </c>
      <c r="DV22" s="62">
        <v>0</v>
      </c>
      <c r="DW22" s="63">
        <v>0</v>
      </c>
      <c r="DX22" s="62">
        <v>0</v>
      </c>
      <c r="DY22" s="63">
        <v>0</v>
      </c>
      <c r="DZ22" s="62">
        <v>0</v>
      </c>
      <c r="EA22" s="63">
        <v>0</v>
      </c>
      <c r="EB22" s="62">
        <v>0</v>
      </c>
      <c r="EC22" s="63">
        <v>0</v>
      </c>
      <c r="ED22" s="62">
        <v>0</v>
      </c>
      <c r="EE22" s="63">
        <v>0</v>
      </c>
      <c r="EF22" s="62"/>
      <c r="EG22" s="63" t="e">
        <f t="shared" ref="EG22:EG33" si="0">EF22/$EM$62</f>
        <v>#DIV/0!</v>
      </c>
      <c r="EH22" s="62">
        <v>0</v>
      </c>
      <c r="EI22" s="63">
        <v>0</v>
      </c>
      <c r="EJ22" s="62">
        <v>0</v>
      </c>
      <c r="EK22" s="63">
        <v>0</v>
      </c>
      <c r="EL22" s="62">
        <v>0</v>
      </c>
      <c r="EM22" s="63">
        <v>0</v>
      </c>
      <c r="EN22" s="62">
        <v>0</v>
      </c>
      <c r="EO22" s="63">
        <v>0</v>
      </c>
      <c r="EP22" s="62">
        <v>0</v>
      </c>
      <c r="EQ22" s="63">
        <v>0</v>
      </c>
      <c r="ER22" s="62">
        <v>0</v>
      </c>
      <c r="ES22" s="63">
        <v>0</v>
      </c>
      <c r="ET22" s="62">
        <v>0</v>
      </c>
      <c r="EU22" s="63">
        <v>0</v>
      </c>
      <c r="EV22" s="62">
        <v>0</v>
      </c>
      <c r="EW22" s="63">
        <v>0</v>
      </c>
      <c r="EX22" s="62">
        <v>0</v>
      </c>
      <c r="EY22" s="63">
        <v>0</v>
      </c>
      <c r="EZ22" s="62">
        <v>0</v>
      </c>
      <c r="FA22" s="63">
        <v>0</v>
      </c>
      <c r="FB22" s="62">
        <v>0</v>
      </c>
      <c r="FC22" s="63">
        <v>0</v>
      </c>
      <c r="FD22" s="62">
        <v>0</v>
      </c>
      <c r="FE22" s="63">
        <v>0</v>
      </c>
      <c r="FF22" s="62">
        <v>0</v>
      </c>
      <c r="FG22" s="63">
        <v>0</v>
      </c>
      <c r="FH22" s="62">
        <v>0</v>
      </c>
      <c r="FI22" s="63">
        <v>0</v>
      </c>
      <c r="FJ22" s="62">
        <v>0</v>
      </c>
      <c r="FK22" s="63">
        <v>0</v>
      </c>
      <c r="FL22" s="62">
        <v>0</v>
      </c>
      <c r="FM22" s="63">
        <v>0</v>
      </c>
      <c r="FN22" s="62">
        <v>0</v>
      </c>
      <c r="FO22" s="63">
        <v>0</v>
      </c>
      <c r="FP22" s="39">
        <v>0</v>
      </c>
      <c r="FQ22" s="51">
        <v>0</v>
      </c>
      <c r="FR22" s="62">
        <v>0</v>
      </c>
      <c r="FS22" s="63">
        <v>0</v>
      </c>
      <c r="FT22" s="62">
        <v>0</v>
      </c>
      <c r="FU22" s="63">
        <v>0</v>
      </c>
      <c r="FV22" s="62">
        <v>0</v>
      </c>
      <c r="FW22" s="63">
        <v>0</v>
      </c>
      <c r="FX22" s="62">
        <v>0</v>
      </c>
      <c r="FY22" s="63">
        <v>0</v>
      </c>
      <c r="FZ22" s="62">
        <v>0</v>
      </c>
      <c r="GA22" s="63">
        <v>0</v>
      </c>
      <c r="GB22" s="62">
        <v>0</v>
      </c>
      <c r="GC22" s="63">
        <v>0</v>
      </c>
      <c r="GD22" s="62">
        <v>0</v>
      </c>
      <c r="GE22" s="63">
        <v>0</v>
      </c>
      <c r="GF22" s="62">
        <v>0</v>
      </c>
      <c r="GG22" s="63">
        <v>0</v>
      </c>
      <c r="GH22" s="62">
        <v>0</v>
      </c>
      <c r="GI22" s="63">
        <v>0</v>
      </c>
      <c r="GJ22" s="62">
        <v>0</v>
      </c>
      <c r="GK22" s="63">
        <v>0</v>
      </c>
      <c r="GL22" s="62">
        <v>0</v>
      </c>
      <c r="GM22" s="63">
        <v>0</v>
      </c>
      <c r="GN22" s="62">
        <v>0</v>
      </c>
      <c r="GO22" s="63">
        <v>0</v>
      </c>
      <c r="GP22" s="62">
        <v>0</v>
      </c>
      <c r="GQ22" s="63">
        <v>0</v>
      </c>
      <c r="GR22" s="62">
        <v>0</v>
      </c>
      <c r="GS22" s="63">
        <v>0</v>
      </c>
      <c r="GT22" s="62">
        <v>0</v>
      </c>
      <c r="GU22" s="63">
        <v>0</v>
      </c>
      <c r="GV22" s="62">
        <v>0</v>
      </c>
      <c r="GW22" s="63">
        <v>0</v>
      </c>
      <c r="GX22" s="62">
        <v>0</v>
      </c>
      <c r="GY22" s="63">
        <v>0</v>
      </c>
      <c r="GZ22" s="62">
        <v>0</v>
      </c>
      <c r="HA22" s="63">
        <v>0</v>
      </c>
    </row>
    <row r="23" spans="1:209" x14ac:dyDescent="0.3">
      <c r="A23" s="49" t="s">
        <v>454</v>
      </c>
      <c r="B23" s="66"/>
      <c r="C23" s="67" t="s">
        <v>227</v>
      </c>
      <c r="D23" s="62">
        <v>0</v>
      </c>
      <c r="E23" s="63">
        <v>0</v>
      </c>
      <c r="F23" s="22">
        <v>0</v>
      </c>
      <c r="G23" s="64">
        <v>0</v>
      </c>
      <c r="H23" s="65">
        <v>0</v>
      </c>
      <c r="I23" s="64">
        <v>0</v>
      </c>
      <c r="J23" s="62">
        <v>0</v>
      </c>
      <c r="K23" s="63">
        <v>0</v>
      </c>
      <c r="L23" s="62">
        <v>30030000</v>
      </c>
      <c r="M23" s="63">
        <v>119641.43426294821</v>
      </c>
      <c r="N23" s="62">
        <v>0</v>
      </c>
      <c r="O23" s="63">
        <v>0</v>
      </c>
      <c r="P23" s="62">
        <v>0</v>
      </c>
      <c r="Q23" s="63">
        <v>0</v>
      </c>
      <c r="R23" s="62">
        <v>0</v>
      </c>
      <c r="S23" s="63">
        <v>0</v>
      </c>
      <c r="T23" s="62">
        <v>0</v>
      </c>
      <c r="U23" s="63">
        <v>0</v>
      </c>
      <c r="V23" s="62">
        <v>0</v>
      </c>
      <c r="W23" s="63">
        <v>0</v>
      </c>
      <c r="X23" s="62">
        <v>0</v>
      </c>
      <c r="Y23" s="63">
        <v>0</v>
      </c>
      <c r="Z23" s="62">
        <v>0</v>
      </c>
      <c r="AA23" s="63">
        <v>0</v>
      </c>
      <c r="AB23" s="62">
        <v>970800000</v>
      </c>
      <c r="AC23" s="63">
        <v>281717.933836332</v>
      </c>
      <c r="AD23" s="62">
        <v>0</v>
      </c>
      <c r="AE23" s="63">
        <v>0</v>
      </c>
      <c r="AF23" s="62">
        <v>0</v>
      </c>
      <c r="AG23" s="63">
        <v>0</v>
      </c>
      <c r="AH23" s="62">
        <v>0</v>
      </c>
      <c r="AI23" s="63">
        <v>0</v>
      </c>
      <c r="AJ23" s="62">
        <v>0</v>
      </c>
      <c r="AK23" s="63">
        <v>0</v>
      </c>
      <c r="AL23" s="62">
        <v>0</v>
      </c>
      <c r="AM23" s="63">
        <v>0</v>
      </c>
      <c r="AN23" s="62">
        <v>0</v>
      </c>
      <c r="AO23" s="63">
        <v>0</v>
      </c>
      <c r="AP23" s="62">
        <v>0</v>
      </c>
      <c r="AQ23" s="63">
        <v>0</v>
      </c>
      <c r="AR23" s="62">
        <v>0</v>
      </c>
      <c r="AS23" s="63">
        <v>0</v>
      </c>
      <c r="AT23" s="62">
        <v>0</v>
      </c>
      <c r="AU23" s="63">
        <v>0</v>
      </c>
      <c r="AV23" s="62">
        <v>0</v>
      </c>
      <c r="AW23" s="63">
        <v>0</v>
      </c>
      <c r="AX23" s="62">
        <v>0</v>
      </c>
      <c r="AY23" s="63">
        <v>0</v>
      </c>
      <c r="AZ23" s="62">
        <v>0</v>
      </c>
      <c r="BA23" s="63">
        <v>0</v>
      </c>
      <c r="BB23" s="62">
        <v>0</v>
      </c>
      <c r="BC23" s="63">
        <v>0</v>
      </c>
      <c r="BD23" s="62">
        <v>0</v>
      </c>
      <c r="BE23" s="63">
        <v>0</v>
      </c>
      <c r="BF23" s="62">
        <v>0</v>
      </c>
      <c r="BG23" s="63">
        <v>0</v>
      </c>
      <c r="BH23" s="62">
        <v>0</v>
      </c>
      <c r="BI23" s="63">
        <v>0</v>
      </c>
      <c r="BJ23" s="62">
        <v>0</v>
      </c>
      <c r="BK23" s="63">
        <v>0</v>
      </c>
      <c r="BL23" s="62">
        <v>530400000</v>
      </c>
      <c r="BM23" s="63">
        <v>863843.64820846904</v>
      </c>
      <c r="BN23" s="62">
        <v>0</v>
      </c>
      <c r="BO23" s="63">
        <v>0</v>
      </c>
      <c r="BP23" s="62">
        <v>0</v>
      </c>
      <c r="BQ23" s="63">
        <v>0</v>
      </c>
      <c r="BR23" s="62">
        <v>42600000</v>
      </c>
      <c r="BS23" s="63">
        <v>27626.45914396887</v>
      </c>
      <c r="BT23" s="62">
        <v>0</v>
      </c>
      <c r="BU23" s="63">
        <v>0</v>
      </c>
      <c r="BV23" s="62">
        <v>0</v>
      </c>
      <c r="BW23" s="63">
        <v>0</v>
      </c>
      <c r="BX23" s="62">
        <v>0</v>
      </c>
      <c r="BY23" s="63">
        <v>0</v>
      </c>
      <c r="BZ23" s="62">
        <v>0</v>
      </c>
      <c r="CA23" s="63">
        <v>0</v>
      </c>
      <c r="CB23" s="62">
        <v>0</v>
      </c>
      <c r="CC23" s="63">
        <v>0</v>
      </c>
      <c r="CD23" s="62">
        <v>0</v>
      </c>
      <c r="CE23" s="63">
        <v>0</v>
      </c>
      <c r="CF23" s="62">
        <v>0</v>
      </c>
      <c r="CG23" s="63">
        <v>0</v>
      </c>
      <c r="CH23" s="62">
        <v>0</v>
      </c>
      <c r="CI23" s="63">
        <v>0</v>
      </c>
      <c r="CJ23" s="62">
        <v>113000000</v>
      </c>
      <c r="CK23" s="63">
        <v>34015.653220951237</v>
      </c>
      <c r="CL23" s="62">
        <v>0</v>
      </c>
      <c r="CM23" s="63">
        <v>0</v>
      </c>
      <c r="CN23" s="62">
        <v>0</v>
      </c>
      <c r="CO23" s="63">
        <v>0</v>
      </c>
      <c r="CP23" s="62">
        <v>0</v>
      </c>
      <c r="CQ23" s="63">
        <v>0</v>
      </c>
      <c r="CR23" s="62">
        <v>0</v>
      </c>
      <c r="CS23" s="63">
        <v>0</v>
      </c>
      <c r="CT23" s="62">
        <v>0</v>
      </c>
      <c r="CU23" s="63">
        <v>0</v>
      </c>
      <c r="CV23" s="62">
        <v>0</v>
      </c>
      <c r="CW23" s="63">
        <v>0</v>
      </c>
      <c r="CX23" s="62">
        <v>0</v>
      </c>
      <c r="CY23" s="63">
        <v>0</v>
      </c>
      <c r="CZ23" s="62">
        <v>0</v>
      </c>
      <c r="DA23" s="63">
        <v>0</v>
      </c>
      <c r="DB23" s="62">
        <v>0</v>
      </c>
      <c r="DC23" s="63">
        <v>0</v>
      </c>
      <c r="DD23" s="62">
        <v>0</v>
      </c>
      <c r="DE23" s="63">
        <v>0</v>
      </c>
      <c r="DF23" s="62">
        <v>0</v>
      </c>
      <c r="DG23" s="63">
        <v>0</v>
      </c>
      <c r="DH23" s="62">
        <v>366000000</v>
      </c>
      <c r="DI23" s="63">
        <v>1200000</v>
      </c>
      <c r="DJ23" s="62">
        <v>0</v>
      </c>
      <c r="DK23" s="63">
        <v>0</v>
      </c>
      <c r="DL23" s="62">
        <v>0</v>
      </c>
      <c r="DM23" s="63">
        <v>0</v>
      </c>
      <c r="DN23" s="62">
        <v>0</v>
      </c>
      <c r="DO23" s="63">
        <v>0</v>
      </c>
      <c r="DP23" s="62">
        <v>0</v>
      </c>
      <c r="DQ23" s="63">
        <v>0</v>
      </c>
      <c r="DR23" s="62">
        <v>0</v>
      </c>
      <c r="DS23" s="63">
        <v>0</v>
      </c>
      <c r="DT23" s="62">
        <v>0</v>
      </c>
      <c r="DU23" s="63">
        <v>0</v>
      </c>
      <c r="DV23" s="62">
        <v>0</v>
      </c>
      <c r="DW23" s="63">
        <v>0</v>
      </c>
      <c r="DX23" s="62">
        <v>0</v>
      </c>
      <c r="DY23" s="63">
        <v>0</v>
      </c>
      <c r="DZ23" s="62">
        <v>0</v>
      </c>
      <c r="EA23" s="63">
        <v>0</v>
      </c>
      <c r="EB23" s="62">
        <v>0</v>
      </c>
      <c r="EC23" s="63">
        <v>0</v>
      </c>
      <c r="ED23" s="62">
        <v>0</v>
      </c>
      <c r="EE23" s="63">
        <v>0</v>
      </c>
      <c r="EF23" s="62"/>
      <c r="EG23" s="63" t="e">
        <f t="shared" si="0"/>
        <v>#DIV/0!</v>
      </c>
      <c r="EH23" s="62">
        <v>366000000</v>
      </c>
      <c r="EI23" s="63">
        <v>1200000</v>
      </c>
      <c r="EJ23" s="62">
        <v>0</v>
      </c>
      <c r="EK23" s="63">
        <v>0</v>
      </c>
      <c r="EL23" s="62">
        <v>0</v>
      </c>
      <c r="EM23" s="63">
        <v>0</v>
      </c>
      <c r="EN23" s="62">
        <v>0</v>
      </c>
      <c r="EO23" s="63">
        <v>0</v>
      </c>
      <c r="EP23" s="62">
        <v>0</v>
      </c>
      <c r="EQ23" s="63">
        <v>0</v>
      </c>
      <c r="ER23" s="62">
        <v>0</v>
      </c>
      <c r="ES23" s="63">
        <v>0</v>
      </c>
      <c r="ET23" s="62">
        <v>0</v>
      </c>
      <c r="EU23" s="63">
        <v>0</v>
      </c>
      <c r="EV23" s="62">
        <v>0</v>
      </c>
      <c r="EW23" s="63">
        <v>0</v>
      </c>
      <c r="EX23" s="62">
        <v>0</v>
      </c>
      <c r="EY23" s="63">
        <v>0</v>
      </c>
      <c r="EZ23" s="62">
        <v>0</v>
      </c>
      <c r="FA23" s="63">
        <v>0</v>
      </c>
      <c r="FB23" s="62">
        <v>0</v>
      </c>
      <c r="FC23" s="63">
        <v>0</v>
      </c>
      <c r="FD23" s="62">
        <v>0</v>
      </c>
      <c r="FE23" s="63">
        <v>0</v>
      </c>
      <c r="FF23" s="62">
        <v>0</v>
      </c>
      <c r="FG23" s="63">
        <v>0</v>
      </c>
      <c r="FH23" s="62">
        <v>0</v>
      </c>
      <c r="FI23" s="63">
        <v>0</v>
      </c>
      <c r="FJ23" s="62">
        <v>0</v>
      </c>
      <c r="FK23" s="63">
        <v>0</v>
      </c>
      <c r="FL23" s="62">
        <v>0</v>
      </c>
      <c r="FM23" s="63">
        <v>0</v>
      </c>
      <c r="FN23" s="62">
        <v>0</v>
      </c>
      <c r="FO23" s="63">
        <v>0</v>
      </c>
      <c r="FP23" s="39">
        <v>0</v>
      </c>
      <c r="FQ23" s="51">
        <v>0</v>
      </c>
      <c r="FR23" s="62">
        <v>0</v>
      </c>
      <c r="FS23" s="63">
        <v>0</v>
      </c>
      <c r="FT23" s="62">
        <v>0</v>
      </c>
      <c r="FU23" s="63">
        <v>0</v>
      </c>
      <c r="FV23" s="62">
        <v>0</v>
      </c>
      <c r="FW23" s="63">
        <v>0</v>
      </c>
      <c r="FX23" s="62">
        <v>0</v>
      </c>
      <c r="FY23" s="63">
        <v>0</v>
      </c>
      <c r="FZ23" s="62">
        <v>0</v>
      </c>
      <c r="GA23" s="63">
        <v>0</v>
      </c>
      <c r="GB23" s="62">
        <v>0</v>
      </c>
      <c r="GC23" s="63">
        <v>0</v>
      </c>
      <c r="GD23" s="62">
        <v>0</v>
      </c>
      <c r="GE23" s="63">
        <v>0</v>
      </c>
      <c r="GF23" s="62">
        <v>179820000</v>
      </c>
      <c r="GG23" s="63">
        <v>90000</v>
      </c>
      <c r="GH23" s="62">
        <v>0</v>
      </c>
      <c r="GI23" s="63">
        <v>0</v>
      </c>
      <c r="GJ23" s="62">
        <v>0</v>
      </c>
      <c r="GK23" s="63">
        <v>0</v>
      </c>
      <c r="GL23" s="62">
        <v>0</v>
      </c>
      <c r="GM23" s="63">
        <v>0</v>
      </c>
      <c r="GN23" s="62">
        <v>0</v>
      </c>
      <c r="GO23" s="63">
        <v>0</v>
      </c>
      <c r="GP23" s="62">
        <v>0</v>
      </c>
      <c r="GQ23" s="63">
        <v>0</v>
      </c>
      <c r="GR23" s="62">
        <v>0</v>
      </c>
      <c r="GS23" s="63">
        <v>0</v>
      </c>
      <c r="GT23" s="62">
        <v>0</v>
      </c>
      <c r="GU23" s="63">
        <v>0</v>
      </c>
      <c r="GV23" s="62">
        <v>0</v>
      </c>
      <c r="GW23" s="63">
        <v>0</v>
      </c>
      <c r="GX23" s="62">
        <v>0</v>
      </c>
      <c r="GY23" s="63">
        <v>0</v>
      </c>
      <c r="GZ23" s="62">
        <v>0</v>
      </c>
      <c r="HA23" s="63">
        <v>0</v>
      </c>
    </row>
    <row r="24" spans="1:209" x14ac:dyDescent="0.3">
      <c r="A24" s="49" t="s">
        <v>454</v>
      </c>
      <c r="B24" s="66"/>
      <c r="C24" s="67" t="s">
        <v>228</v>
      </c>
      <c r="D24" s="62">
        <v>22192000</v>
      </c>
      <c r="E24" s="63">
        <v>36500</v>
      </c>
      <c r="F24" s="22">
        <v>45771000</v>
      </c>
      <c r="G24" s="64">
        <v>36500</v>
      </c>
      <c r="H24" s="65">
        <v>27109600</v>
      </c>
      <c r="I24" s="64">
        <v>32900</v>
      </c>
      <c r="J24" s="62">
        <v>26172000</v>
      </c>
      <c r="K24" s="63">
        <v>36000</v>
      </c>
      <c r="L24" s="62">
        <v>8883000</v>
      </c>
      <c r="M24" s="63">
        <v>35390.438247011953</v>
      </c>
      <c r="N24" s="62">
        <v>25696000</v>
      </c>
      <c r="O24" s="63">
        <v>36500</v>
      </c>
      <c r="P24" s="62">
        <v>29511300</v>
      </c>
      <c r="Q24" s="63">
        <v>32900</v>
      </c>
      <c r="R24" s="62">
        <v>67269500</v>
      </c>
      <c r="S24" s="63">
        <v>36500</v>
      </c>
      <c r="T24" s="62">
        <v>54348500</v>
      </c>
      <c r="U24" s="63">
        <v>36500</v>
      </c>
      <c r="V24" s="62">
        <v>30258500</v>
      </c>
      <c r="W24" s="63">
        <v>36500</v>
      </c>
      <c r="X24" s="62">
        <v>21498500</v>
      </c>
      <c r="Y24" s="63">
        <v>36500</v>
      </c>
      <c r="Z24" s="62">
        <v>19162500</v>
      </c>
      <c r="AA24" s="63">
        <v>36500</v>
      </c>
      <c r="AB24" s="62">
        <v>808170500</v>
      </c>
      <c r="AC24" s="63">
        <v>234524.23099245501</v>
      </c>
      <c r="AD24" s="62">
        <v>16169500</v>
      </c>
      <c r="AE24" s="63">
        <v>36500</v>
      </c>
      <c r="AF24" s="62">
        <v>16315500</v>
      </c>
      <c r="AG24" s="63">
        <v>36500</v>
      </c>
      <c r="AH24" s="62">
        <v>36646000</v>
      </c>
      <c r="AI24" s="63">
        <v>36500</v>
      </c>
      <c r="AJ24" s="62">
        <v>8935200</v>
      </c>
      <c r="AK24" s="63">
        <v>43800</v>
      </c>
      <c r="AL24" s="62">
        <v>129150000</v>
      </c>
      <c r="AM24" s="63">
        <v>450000</v>
      </c>
      <c r="AN24" s="62">
        <v>12592500</v>
      </c>
      <c r="AO24" s="63">
        <v>36500</v>
      </c>
      <c r="AP24" s="62">
        <v>21133500</v>
      </c>
      <c r="AQ24" s="63">
        <v>36500</v>
      </c>
      <c r="AR24" s="62">
        <v>59093500</v>
      </c>
      <c r="AS24" s="63">
        <v>36500</v>
      </c>
      <c r="AT24" s="62">
        <v>33069000</v>
      </c>
      <c r="AU24" s="63">
        <v>36500</v>
      </c>
      <c r="AV24" s="62">
        <v>33580000</v>
      </c>
      <c r="AW24" s="63">
        <v>36500</v>
      </c>
      <c r="AX24" s="62">
        <v>73036500</v>
      </c>
      <c r="AY24" s="63">
        <v>36500</v>
      </c>
      <c r="AZ24" s="62">
        <v>35149500</v>
      </c>
      <c r="BA24" s="63">
        <v>36500</v>
      </c>
      <c r="BB24" s="62">
        <v>36463500</v>
      </c>
      <c r="BC24" s="63">
        <v>36500</v>
      </c>
      <c r="BD24" s="62">
        <v>36573000</v>
      </c>
      <c r="BE24" s="63">
        <v>36500</v>
      </c>
      <c r="BF24" s="62">
        <v>12738500</v>
      </c>
      <c r="BG24" s="63">
        <v>36500</v>
      </c>
      <c r="BH24" s="62">
        <v>32266000</v>
      </c>
      <c r="BI24" s="63">
        <v>36500</v>
      </c>
      <c r="BJ24" s="62">
        <v>31025000</v>
      </c>
      <c r="BK24" s="63">
        <v>36500</v>
      </c>
      <c r="BL24" s="62">
        <v>22411000</v>
      </c>
      <c r="BM24" s="63">
        <v>36500</v>
      </c>
      <c r="BN24" s="62">
        <v>15585500</v>
      </c>
      <c r="BO24" s="63">
        <v>36500</v>
      </c>
      <c r="BP24" s="62">
        <v>37120500</v>
      </c>
      <c r="BQ24" s="63">
        <v>36500</v>
      </c>
      <c r="BR24" s="62">
        <v>296334000</v>
      </c>
      <c r="BS24" s="63">
        <v>192175.0972762646</v>
      </c>
      <c r="BT24" s="62">
        <v>2109208000</v>
      </c>
      <c r="BU24" s="63">
        <v>704949.19786096259</v>
      </c>
      <c r="BV24" s="62">
        <v>81249000</v>
      </c>
      <c r="BW24" s="63">
        <v>36500</v>
      </c>
      <c r="BX24" s="62">
        <v>11278500</v>
      </c>
      <c r="BY24" s="63">
        <v>36500</v>
      </c>
      <c r="BZ24" s="62">
        <v>29492000</v>
      </c>
      <c r="CA24" s="63">
        <v>36500</v>
      </c>
      <c r="CB24" s="62">
        <v>342398650</v>
      </c>
      <c r="CC24" s="63">
        <v>386454.45823927765</v>
      </c>
      <c r="CD24" s="62">
        <v>18943500</v>
      </c>
      <c r="CE24" s="63">
        <v>36500</v>
      </c>
      <c r="CF24" s="62">
        <v>36281000</v>
      </c>
      <c r="CG24" s="63">
        <v>36500</v>
      </c>
      <c r="CH24" s="62">
        <v>20768500</v>
      </c>
      <c r="CI24" s="63">
        <v>36500</v>
      </c>
      <c r="CJ24" s="62">
        <v>121253000</v>
      </c>
      <c r="CK24" s="63">
        <v>36500</v>
      </c>
      <c r="CL24" s="62">
        <v>82928000</v>
      </c>
      <c r="CM24" s="63">
        <v>36500</v>
      </c>
      <c r="CN24" s="62">
        <v>25440500</v>
      </c>
      <c r="CO24" s="63">
        <v>36500</v>
      </c>
      <c r="CP24" s="62">
        <v>29346000</v>
      </c>
      <c r="CQ24" s="63">
        <v>36500</v>
      </c>
      <c r="CR24" s="62">
        <v>17374000</v>
      </c>
      <c r="CS24" s="63">
        <v>36500</v>
      </c>
      <c r="CT24" s="62">
        <v>72963500</v>
      </c>
      <c r="CU24" s="63">
        <v>36500</v>
      </c>
      <c r="CV24" s="62">
        <v>138773000</v>
      </c>
      <c r="CW24" s="63">
        <v>36500</v>
      </c>
      <c r="CX24" s="62">
        <v>38799500</v>
      </c>
      <c r="CY24" s="63">
        <v>36500</v>
      </c>
      <c r="CZ24" s="62">
        <v>8662500</v>
      </c>
      <c r="DA24" s="63">
        <v>37500</v>
      </c>
      <c r="DB24" s="62">
        <v>22338000</v>
      </c>
      <c r="DC24" s="63">
        <v>36500</v>
      </c>
      <c r="DD24" s="62">
        <v>18487500</v>
      </c>
      <c r="DE24" s="63">
        <v>37500</v>
      </c>
      <c r="DF24" s="62">
        <v>26287500</v>
      </c>
      <c r="DG24" s="63">
        <v>37500</v>
      </c>
      <c r="DH24" s="62">
        <v>198250000</v>
      </c>
      <c r="DI24" s="63">
        <v>650000</v>
      </c>
      <c r="DJ24" s="62">
        <v>34300500</v>
      </c>
      <c r="DK24" s="63">
        <v>37001.618122977343</v>
      </c>
      <c r="DL24" s="62">
        <v>66375000</v>
      </c>
      <c r="DM24" s="63">
        <v>37648.893930799772</v>
      </c>
      <c r="DN24" s="62">
        <v>34500000</v>
      </c>
      <c r="DO24" s="63">
        <v>37500</v>
      </c>
      <c r="DP24" s="62">
        <v>330550000</v>
      </c>
      <c r="DQ24" s="63">
        <v>290465.72934973636</v>
      </c>
      <c r="DR24" s="62">
        <v>119925000</v>
      </c>
      <c r="DS24" s="63">
        <v>37500</v>
      </c>
      <c r="DT24" s="62">
        <v>35400000</v>
      </c>
      <c r="DU24" s="63">
        <v>37500</v>
      </c>
      <c r="DV24" s="62">
        <v>52820000</v>
      </c>
      <c r="DW24" s="63">
        <v>37302.259887005646</v>
      </c>
      <c r="DX24" s="62">
        <v>18000000</v>
      </c>
      <c r="DY24" s="63">
        <v>37500</v>
      </c>
      <c r="DZ24" s="62">
        <v>37087500</v>
      </c>
      <c r="EA24" s="63">
        <v>37500</v>
      </c>
      <c r="EB24" s="62">
        <v>577162500</v>
      </c>
      <c r="EC24" s="63">
        <v>309802.73752012884</v>
      </c>
      <c r="ED24" s="62">
        <v>39750000</v>
      </c>
      <c r="EE24" s="63">
        <v>75570.342205323192</v>
      </c>
      <c r="EF24" s="62">
        <f>8803000000+61837500</f>
        <v>8864837500</v>
      </c>
      <c r="EG24" s="63" t="e">
        <f t="shared" si="0"/>
        <v>#DIV/0!</v>
      </c>
      <c r="EH24" s="62">
        <v>198250000</v>
      </c>
      <c r="EI24" s="63">
        <v>650000</v>
      </c>
      <c r="EJ24" s="62">
        <v>52820000</v>
      </c>
      <c r="EK24" s="63">
        <v>37302.259887005646</v>
      </c>
      <c r="EL24" s="62">
        <v>31612500</v>
      </c>
      <c r="EM24" s="63">
        <v>37500</v>
      </c>
      <c r="EN24" s="62">
        <v>262762500</v>
      </c>
      <c r="EO24" s="63">
        <v>37500</v>
      </c>
      <c r="EP24" s="62">
        <v>37875000</v>
      </c>
      <c r="EQ24" s="63">
        <v>37500</v>
      </c>
      <c r="ER24" s="62">
        <v>41212500</v>
      </c>
      <c r="ES24" s="63">
        <v>37500</v>
      </c>
      <c r="ET24" s="62">
        <v>120600000</v>
      </c>
      <c r="EU24" s="63">
        <v>37500</v>
      </c>
      <c r="EV24" s="62">
        <v>514675000</v>
      </c>
      <c r="EW24" s="63">
        <v>364759.03614457831</v>
      </c>
      <c r="EX24" s="62">
        <v>31875000</v>
      </c>
      <c r="EY24" s="63">
        <v>37500</v>
      </c>
      <c r="EZ24" s="62">
        <v>41824000</v>
      </c>
      <c r="FA24" s="63">
        <v>37342.857142857145</v>
      </c>
      <c r="FB24" s="62">
        <v>105937500</v>
      </c>
      <c r="FC24" s="63">
        <v>37500</v>
      </c>
      <c r="FD24" s="62">
        <v>43912500</v>
      </c>
      <c r="FE24" s="63">
        <v>37500</v>
      </c>
      <c r="FF24" s="62">
        <v>96300000</v>
      </c>
      <c r="FG24" s="63">
        <v>37500</v>
      </c>
      <c r="FH24" s="62">
        <v>21787500</v>
      </c>
      <c r="FI24" s="63">
        <v>37500</v>
      </c>
      <c r="FJ24" s="62">
        <v>18487500</v>
      </c>
      <c r="FK24" s="63">
        <v>37500</v>
      </c>
      <c r="FL24" s="62">
        <v>49950000</v>
      </c>
      <c r="FM24" s="63">
        <v>37500</v>
      </c>
      <c r="FN24" s="62">
        <v>0</v>
      </c>
      <c r="FO24" s="63">
        <v>0</v>
      </c>
      <c r="FP24" s="39">
        <v>92175000</v>
      </c>
      <c r="FQ24" s="51">
        <v>37500</v>
      </c>
      <c r="FR24" s="62">
        <v>0</v>
      </c>
      <c r="FS24" s="63">
        <v>0</v>
      </c>
      <c r="FT24" s="62">
        <v>37087500</v>
      </c>
      <c r="FU24" s="63">
        <v>37500</v>
      </c>
      <c r="FV24" s="62">
        <v>90937500</v>
      </c>
      <c r="FW24" s="63">
        <v>37500</v>
      </c>
      <c r="FX24" s="62">
        <v>77025000</v>
      </c>
      <c r="FY24" s="63">
        <v>37500</v>
      </c>
      <c r="FZ24" s="62">
        <v>41212500</v>
      </c>
      <c r="GA24" s="63">
        <v>37500</v>
      </c>
      <c r="GB24" s="62">
        <v>120600000</v>
      </c>
      <c r="GC24" s="63">
        <v>37500</v>
      </c>
      <c r="GD24" s="62">
        <v>93187500</v>
      </c>
      <c r="GE24" s="63">
        <v>35731.40337423313</v>
      </c>
      <c r="GF24" s="62">
        <v>74925000</v>
      </c>
      <c r="GG24" s="63">
        <v>37500</v>
      </c>
      <c r="GH24" s="62">
        <v>60000000</v>
      </c>
      <c r="GI24" s="63">
        <v>37500</v>
      </c>
      <c r="GJ24" s="62">
        <v>28762500</v>
      </c>
      <c r="GK24" s="63">
        <v>37500</v>
      </c>
      <c r="GL24" s="62">
        <v>107137500</v>
      </c>
      <c r="GM24" s="63">
        <v>37500</v>
      </c>
      <c r="GN24" s="62">
        <v>50587500</v>
      </c>
      <c r="GO24" s="63">
        <v>37500</v>
      </c>
      <c r="GP24" s="62">
        <v>35662500</v>
      </c>
      <c r="GQ24" s="63">
        <v>37500</v>
      </c>
      <c r="GR24" s="62">
        <v>76312500</v>
      </c>
      <c r="GS24" s="63">
        <v>37500</v>
      </c>
      <c r="GT24" s="62">
        <v>24225000</v>
      </c>
      <c r="GU24" s="63">
        <v>37500</v>
      </c>
      <c r="GV24" s="62">
        <v>374575000</v>
      </c>
      <c r="GW24" s="63">
        <v>329731.51408450707</v>
      </c>
      <c r="GX24" s="62">
        <v>26362500</v>
      </c>
      <c r="GY24" s="63">
        <v>37500</v>
      </c>
      <c r="GZ24" s="62">
        <v>30150000</v>
      </c>
      <c r="HA24" s="63">
        <v>37500</v>
      </c>
    </row>
    <row r="25" spans="1:209" x14ac:dyDescent="0.3">
      <c r="A25" s="49" t="s">
        <v>454</v>
      </c>
      <c r="B25" s="66"/>
      <c r="C25" s="67" t="s">
        <v>229</v>
      </c>
      <c r="D25" s="62">
        <v>0</v>
      </c>
      <c r="E25" s="63">
        <v>0</v>
      </c>
      <c r="F25" s="22">
        <v>0</v>
      </c>
      <c r="G25" s="64">
        <v>0</v>
      </c>
      <c r="H25" s="65">
        <v>0</v>
      </c>
      <c r="I25" s="64">
        <v>0</v>
      </c>
      <c r="J25" s="62">
        <v>0</v>
      </c>
      <c r="K25" s="63">
        <v>0</v>
      </c>
      <c r="L25" s="62">
        <v>29700000</v>
      </c>
      <c r="M25" s="63">
        <v>118326.69322709163</v>
      </c>
      <c r="N25" s="62">
        <v>0</v>
      </c>
      <c r="O25" s="63">
        <v>0</v>
      </c>
      <c r="P25" s="62">
        <v>62790000</v>
      </c>
      <c r="Q25" s="63">
        <v>70000</v>
      </c>
      <c r="R25" s="62">
        <v>129010000</v>
      </c>
      <c r="S25" s="63">
        <v>70000</v>
      </c>
      <c r="T25" s="62">
        <v>0</v>
      </c>
      <c r="U25" s="63">
        <v>0</v>
      </c>
      <c r="V25" s="62">
        <v>0</v>
      </c>
      <c r="W25" s="63">
        <v>0</v>
      </c>
      <c r="X25" s="62">
        <v>0</v>
      </c>
      <c r="Y25" s="63">
        <v>0</v>
      </c>
      <c r="Z25" s="62">
        <v>0</v>
      </c>
      <c r="AA25" s="63">
        <v>0</v>
      </c>
      <c r="AB25" s="62">
        <v>241220000</v>
      </c>
      <c r="AC25" s="63">
        <v>70000</v>
      </c>
      <c r="AD25" s="62">
        <v>0</v>
      </c>
      <c r="AE25" s="63">
        <v>0</v>
      </c>
      <c r="AF25" s="62">
        <v>0</v>
      </c>
      <c r="AG25" s="63">
        <v>0</v>
      </c>
      <c r="AH25" s="62">
        <v>0</v>
      </c>
      <c r="AI25" s="63">
        <v>0</v>
      </c>
      <c r="AJ25" s="62">
        <v>0</v>
      </c>
      <c r="AK25" s="63">
        <v>0</v>
      </c>
      <c r="AL25" s="62">
        <v>12110000</v>
      </c>
      <c r="AM25" s="63">
        <v>42195.121951219509</v>
      </c>
      <c r="AN25" s="62">
        <v>0</v>
      </c>
      <c r="AO25" s="63">
        <v>0</v>
      </c>
      <c r="AP25" s="62">
        <v>0</v>
      </c>
      <c r="AQ25" s="63">
        <v>0</v>
      </c>
      <c r="AR25" s="62">
        <v>113330000</v>
      </c>
      <c r="AS25" s="63">
        <v>70000</v>
      </c>
      <c r="AT25" s="62">
        <v>0</v>
      </c>
      <c r="AU25" s="63">
        <v>0</v>
      </c>
      <c r="AV25" s="62">
        <v>0</v>
      </c>
      <c r="AW25" s="63">
        <v>0</v>
      </c>
      <c r="AX25" s="62">
        <v>0</v>
      </c>
      <c r="AY25" s="63">
        <v>0</v>
      </c>
      <c r="AZ25" s="62">
        <v>0</v>
      </c>
      <c r="BA25" s="63">
        <v>0</v>
      </c>
      <c r="BB25" s="62">
        <v>0</v>
      </c>
      <c r="BC25" s="63">
        <v>0</v>
      </c>
      <c r="BD25" s="62">
        <v>0</v>
      </c>
      <c r="BE25" s="63">
        <v>0</v>
      </c>
      <c r="BF25" s="62">
        <v>0</v>
      </c>
      <c r="BG25" s="63">
        <v>0</v>
      </c>
      <c r="BH25" s="62">
        <v>0</v>
      </c>
      <c r="BI25" s="63">
        <v>0</v>
      </c>
      <c r="BJ25" s="62">
        <v>0</v>
      </c>
      <c r="BK25" s="63">
        <v>0</v>
      </c>
      <c r="BL25" s="62">
        <v>0</v>
      </c>
      <c r="BM25" s="63">
        <v>0</v>
      </c>
      <c r="BN25" s="62">
        <v>42700000</v>
      </c>
      <c r="BO25" s="63">
        <v>100000</v>
      </c>
      <c r="BP25" s="62">
        <v>71190000</v>
      </c>
      <c r="BQ25" s="63">
        <v>70000</v>
      </c>
      <c r="BR25" s="62">
        <v>42600000</v>
      </c>
      <c r="BS25" s="63">
        <v>27626.45914396887</v>
      </c>
      <c r="BT25" s="62">
        <v>0</v>
      </c>
      <c r="BU25" s="63">
        <v>0</v>
      </c>
      <c r="BV25" s="62">
        <v>76160000</v>
      </c>
      <c r="BW25" s="63">
        <v>34213.836477987425</v>
      </c>
      <c r="BX25" s="62">
        <v>0</v>
      </c>
      <c r="BY25" s="63">
        <v>0</v>
      </c>
      <c r="BZ25" s="62">
        <v>0</v>
      </c>
      <c r="CA25" s="63">
        <v>0</v>
      </c>
      <c r="CB25" s="62">
        <v>38115000</v>
      </c>
      <c r="CC25" s="63">
        <v>43019.187358916475</v>
      </c>
      <c r="CD25" s="62">
        <v>0</v>
      </c>
      <c r="CE25" s="63">
        <v>0</v>
      </c>
      <c r="CF25" s="62">
        <v>0</v>
      </c>
      <c r="CG25" s="63">
        <v>0</v>
      </c>
      <c r="CH25" s="62">
        <v>0</v>
      </c>
      <c r="CI25" s="63">
        <v>0</v>
      </c>
      <c r="CJ25" s="62">
        <v>232540000</v>
      </c>
      <c r="CK25" s="63">
        <v>70000</v>
      </c>
      <c r="CL25" s="62">
        <v>0</v>
      </c>
      <c r="CM25" s="63">
        <v>0</v>
      </c>
      <c r="CN25" s="62">
        <v>0</v>
      </c>
      <c r="CO25" s="63">
        <v>0</v>
      </c>
      <c r="CP25" s="62">
        <v>0</v>
      </c>
      <c r="CQ25" s="63">
        <v>0</v>
      </c>
      <c r="CR25" s="62">
        <v>0</v>
      </c>
      <c r="CS25" s="63">
        <v>0</v>
      </c>
      <c r="CT25" s="62">
        <v>0</v>
      </c>
      <c r="CU25" s="63">
        <v>0</v>
      </c>
      <c r="CV25" s="62">
        <v>0</v>
      </c>
      <c r="CW25" s="63">
        <v>0</v>
      </c>
      <c r="CX25" s="62">
        <v>0</v>
      </c>
      <c r="CY25" s="63">
        <v>0</v>
      </c>
      <c r="CZ25" s="62">
        <v>23100000</v>
      </c>
      <c r="DA25" s="63">
        <v>100000</v>
      </c>
      <c r="DB25" s="62">
        <v>0</v>
      </c>
      <c r="DC25" s="63">
        <v>0</v>
      </c>
      <c r="DD25" s="62">
        <v>0</v>
      </c>
      <c r="DE25" s="63">
        <v>0</v>
      </c>
      <c r="DF25" s="62">
        <v>0</v>
      </c>
      <c r="DG25" s="63">
        <v>0</v>
      </c>
      <c r="DH25" s="62">
        <v>30500000</v>
      </c>
      <c r="DI25" s="63">
        <v>100000</v>
      </c>
      <c r="DJ25" s="62">
        <v>0</v>
      </c>
      <c r="DK25" s="63">
        <v>0</v>
      </c>
      <c r="DL25" s="62">
        <v>0</v>
      </c>
      <c r="DM25" s="63">
        <v>0</v>
      </c>
      <c r="DN25" s="62">
        <v>0</v>
      </c>
      <c r="DO25" s="63">
        <v>0</v>
      </c>
      <c r="DP25" s="62">
        <v>0</v>
      </c>
      <c r="DQ25" s="63">
        <v>0</v>
      </c>
      <c r="DR25" s="62">
        <v>0</v>
      </c>
      <c r="DS25" s="63">
        <v>0</v>
      </c>
      <c r="DT25" s="62">
        <v>0</v>
      </c>
      <c r="DU25" s="63">
        <v>0</v>
      </c>
      <c r="DV25" s="62">
        <v>0</v>
      </c>
      <c r="DW25" s="63">
        <v>0</v>
      </c>
      <c r="DX25" s="62">
        <v>0</v>
      </c>
      <c r="DY25" s="63">
        <v>0</v>
      </c>
      <c r="DZ25" s="62">
        <v>0</v>
      </c>
      <c r="EA25" s="63">
        <v>0</v>
      </c>
      <c r="EB25" s="62">
        <v>0</v>
      </c>
      <c r="EC25" s="63">
        <v>0</v>
      </c>
      <c r="ED25" s="62">
        <v>0</v>
      </c>
      <c r="EE25" s="63">
        <v>0</v>
      </c>
      <c r="EF25" s="62"/>
      <c r="EG25" s="63" t="e">
        <f t="shared" si="0"/>
        <v>#DIV/0!</v>
      </c>
      <c r="EH25" s="62">
        <v>30500000</v>
      </c>
      <c r="EI25" s="63">
        <v>100000</v>
      </c>
      <c r="EJ25" s="62">
        <v>0</v>
      </c>
      <c r="EK25" s="63">
        <v>0</v>
      </c>
      <c r="EL25" s="62">
        <v>0</v>
      </c>
      <c r="EM25" s="63">
        <v>0</v>
      </c>
      <c r="EN25" s="62">
        <v>0</v>
      </c>
      <c r="EO25" s="63">
        <v>0</v>
      </c>
      <c r="EP25" s="62">
        <v>0</v>
      </c>
      <c r="EQ25" s="63">
        <v>0</v>
      </c>
      <c r="ER25" s="62">
        <v>0</v>
      </c>
      <c r="ES25" s="63">
        <v>0</v>
      </c>
      <c r="ET25" s="62">
        <v>0</v>
      </c>
      <c r="EU25" s="63">
        <v>0</v>
      </c>
      <c r="EV25" s="62">
        <v>69700000</v>
      </c>
      <c r="EW25" s="63">
        <v>49397.590361445786</v>
      </c>
      <c r="EX25" s="62">
        <v>0</v>
      </c>
      <c r="EY25" s="63">
        <v>0</v>
      </c>
      <c r="EZ25" s="62">
        <v>0</v>
      </c>
      <c r="FA25" s="63">
        <v>0</v>
      </c>
      <c r="FB25" s="62">
        <v>70600000</v>
      </c>
      <c r="FC25" s="63">
        <v>24991.150442477876</v>
      </c>
      <c r="FD25" s="62">
        <v>0</v>
      </c>
      <c r="FE25" s="63">
        <v>0</v>
      </c>
      <c r="FF25" s="62">
        <v>243800000</v>
      </c>
      <c r="FG25" s="63">
        <v>94937.694704049849</v>
      </c>
      <c r="FH25" s="62">
        <v>0</v>
      </c>
      <c r="FI25" s="63">
        <v>0</v>
      </c>
      <c r="FJ25" s="62">
        <v>0</v>
      </c>
      <c r="FK25" s="63">
        <v>0</v>
      </c>
      <c r="FL25" s="62">
        <v>0</v>
      </c>
      <c r="FM25" s="63">
        <v>0</v>
      </c>
      <c r="FN25" s="62">
        <v>0</v>
      </c>
      <c r="FO25" s="63">
        <v>0</v>
      </c>
      <c r="FP25" s="39">
        <v>0</v>
      </c>
      <c r="FQ25" s="51">
        <v>0</v>
      </c>
      <c r="FR25" s="62">
        <v>0</v>
      </c>
      <c r="FS25" s="63">
        <v>0</v>
      </c>
      <c r="FT25" s="62">
        <v>0</v>
      </c>
      <c r="FU25" s="63">
        <v>0</v>
      </c>
      <c r="FV25" s="62">
        <v>0</v>
      </c>
      <c r="FW25" s="63">
        <v>0</v>
      </c>
      <c r="FX25" s="62">
        <v>0</v>
      </c>
      <c r="FY25" s="63">
        <v>0</v>
      </c>
      <c r="FZ25" s="62">
        <v>0</v>
      </c>
      <c r="GA25" s="63">
        <v>0</v>
      </c>
      <c r="GB25" s="62">
        <v>0</v>
      </c>
      <c r="GC25" s="63">
        <v>0</v>
      </c>
      <c r="GD25" s="62">
        <v>0</v>
      </c>
      <c r="GE25" s="63">
        <v>0</v>
      </c>
      <c r="GF25" s="62">
        <v>199800000</v>
      </c>
      <c r="GG25" s="63">
        <v>100000</v>
      </c>
      <c r="GH25" s="62">
        <v>0</v>
      </c>
      <c r="GI25" s="63">
        <v>0</v>
      </c>
      <c r="GJ25" s="62">
        <v>0</v>
      </c>
      <c r="GK25" s="63">
        <v>0</v>
      </c>
      <c r="GL25" s="62">
        <v>0</v>
      </c>
      <c r="GM25" s="63">
        <v>0</v>
      </c>
      <c r="GN25" s="62">
        <v>0</v>
      </c>
      <c r="GO25" s="63">
        <v>0</v>
      </c>
      <c r="GP25" s="62">
        <v>0</v>
      </c>
      <c r="GQ25" s="63">
        <v>0</v>
      </c>
      <c r="GR25" s="62">
        <v>0</v>
      </c>
      <c r="GS25" s="63">
        <v>0</v>
      </c>
      <c r="GT25" s="62">
        <v>0</v>
      </c>
      <c r="GU25" s="63">
        <v>0</v>
      </c>
      <c r="GV25" s="62">
        <v>0</v>
      </c>
      <c r="GW25" s="63">
        <v>0</v>
      </c>
      <c r="GX25" s="62">
        <v>0</v>
      </c>
      <c r="GY25" s="63">
        <v>0</v>
      </c>
      <c r="GZ25" s="62">
        <v>0</v>
      </c>
      <c r="HA25" s="63">
        <v>0</v>
      </c>
    </row>
    <row r="26" spans="1:209" x14ac:dyDescent="0.3">
      <c r="A26" s="49" t="s">
        <v>454</v>
      </c>
      <c r="B26" s="50"/>
      <c r="C26" s="67" t="s">
        <v>230</v>
      </c>
      <c r="D26" s="62">
        <v>144825600</v>
      </c>
      <c r="E26" s="63">
        <v>238200</v>
      </c>
      <c r="F26" s="22">
        <v>313599400</v>
      </c>
      <c r="G26" s="64">
        <v>250079.2663476874</v>
      </c>
      <c r="H26" s="65">
        <v>196276800</v>
      </c>
      <c r="I26" s="64">
        <v>238200</v>
      </c>
      <c r="J26" s="62">
        <v>212573000</v>
      </c>
      <c r="K26" s="63">
        <v>292397.52407152683</v>
      </c>
      <c r="L26" s="62">
        <v>150632500</v>
      </c>
      <c r="M26" s="63">
        <v>600129.4820717132</v>
      </c>
      <c r="N26" s="62">
        <v>183358800</v>
      </c>
      <c r="O26" s="63">
        <v>260452.84090909091</v>
      </c>
      <c r="P26" s="62">
        <v>213665400</v>
      </c>
      <c r="Q26" s="63">
        <v>238200</v>
      </c>
      <c r="R26" s="62">
        <v>439454600</v>
      </c>
      <c r="S26" s="63">
        <v>238445.2523060228</v>
      </c>
      <c r="T26" s="62">
        <v>359375100</v>
      </c>
      <c r="U26" s="63">
        <v>241353.3243787777</v>
      </c>
      <c r="V26" s="62">
        <v>219841200</v>
      </c>
      <c r="W26" s="63">
        <v>265188.41978287091</v>
      </c>
      <c r="X26" s="62">
        <v>140299800</v>
      </c>
      <c r="Y26" s="63">
        <v>238200</v>
      </c>
      <c r="Z26" s="62">
        <v>125055000</v>
      </c>
      <c r="AA26" s="63">
        <v>238200</v>
      </c>
      <c r="AB26" s="62">
        <v>821542000</v>
      </c>
      <c r="AC26" s="63">
        <v>238404.52698781196</v>
      </c>
      <c r="AD26" s="62">
        <v>111863600</v>
      </c>
      <c r="AE26" s="63">
        <v>252513.76975169301</v>
      </c>
      <c r="AF26" s="62">
        <v>113189400</v>
      </c>
      <c r="AG26" s="63">
        <v>253220.13422818793</v>
      </c>
      <c r="AH26" s="62">
        <v>242537100</v>
      </c>
      <c r="AI26" s="63">
        <v>241570.81673306774</v>
      </c>
      <c r="AJ26" s="62">
        <v>58311360</v>
      </c>
      <c r="AK26" s="63">
        <v>285840</v>
      </c>
      <c r="AL26" s="62">
        <v>69174000</v>
      </c>
      <c r="AM26" s="63">
        <v>241024.39024390245</v>
      </c>
      <c r="AN26" s="62">
        <v>80368200</v>
      </c>
      <c r="AO26" s="63">
        <v>232951.30434782608</v>
      </c>
      <c r="AP26" s="62">
        <v>137917800</v>
      </c>
      <c r="AQ26" s="63">
        <v>238200</v>
      </c>
      <c r="AR26" s="62">
        <v>387676200</v>
      </c>
      <c r="AS26" s="63">
        <v>239454.10747374923</v>
      </c>
      <c r="AT26" s="62">
        <v>207861800</v>
      </c>
      <c r="AU26" s="63">
        <v>229428.0353200883</v>
      </c>
      <c r="AV26" s="62">
        <v>216427800</v>
      </c>
      <c r="AW26" s="63">
        <v>235247.60869565216</v>
      </c>
      <c r="AX26" s="62">
        <v>609624000</v>
      </c>
      <c r="AY26" s="63">
        <v>304659.67016491754</v>
      </c>
      <c r="AZ26" s="62">
        <v>230698800</v>
      </c>
      <c r="BA26" s="63">
        <v>239562.6168224299</v>
      </c>
      <c r="BB26" s="62">
        <v>304331600</v>
      </c>
      <c r="BC26" s="63">
        <v>304636.23623623623</v>
      </c>
      <c r="BD26" s="62">
        <v>241447900</v>
      </c>
      <c r="BE26" s="63">
        <v>240965.96806387225</v>
      </c>
      <c r="BF26" s="62">
        <v>95590000</v>
      </c>
      <c r="BG26" s="63">
        <v>273896.8481375358</v>
      </c>
      <c r="BH26" s="62">
        <v>229666400</v>
      </c>
      <c r="BI26" s="63">
        <v>259803.61990950227</v>
      </c>
      <c r="BJ26" s="62">
        <v>259984500</v>
      </c>
      <c r="BK26" s="63">
        <v>305864.1176470588</v>
      </c>
      <c r="BL26" s="62">
        <v>146254800</v>
      </c>
      <c r="BM26" s="63">
        <v>238200</v>
      </c>
      <c r="BN26" s="62">
        <v>101711400</v>
      </c>
      <c r="BO26" s="63">
        <v>238200</v>
      </c>
      <c r="BP26" s="62">
        <v>246501600</v>
      </c>
      <c r="BQ26" s="63">
        <v>242381.12094395279</v>
      </c>
      <c r="BR26" s="62">
        <v>368143300</v>
      </c>
      <c r="BS26" s="63">
        <v>238744.03372243838</v>
      </c>
      <c r="BT26" s="62">
        <v>693839300</v>
      </c>
      <c r="BU26" s="63">
        <v>231898.16176470587</v>
      </c>
      <c r="BV26" s="62">
        <v>576859500</v>
      </c>
      <c r="BW26" s="63">
        <v>259146.22641509434</v>
      </c>
      <c r="BX26" s="62">
        <v>73603800</v>
      </c>
      <c r="BY26" s="63">
        <v>238200</v>
      </c>
      <c r="BZ26" s="62">
        <v>190900700</v>
      </c>
      <c r="CA26" s="63">
        <v>236263.24257425743</v>
      </c>
      <c r="CB26" s="62">
        <v>286844030</v>
      </c>
      <c r="CC26" s="63">
        <v>323751.72686230246</v>
      </c>
      <c r="CD26" s="62">
        <v>139717600</v>
      </c>
      <c r="CE26" s="63">
        <v>269205.39499036607</v>
      </c>
      <c r="CF26" s="62">
        <v>265111800</v>
      </c>
      <c r="CG26" s="63">
        <v>266712.07243460766</v>
      </c>
      <c r="CH26" s="62">
        <v>135535800</v>
      </c>
      <c r="CI26" s="63">
        <v>238200</v>
      </c>
      <c r="CJ26" s="62">
        <v>866460500</v>
      </c>
      <c r="CK26" s="63">
        <v>260824.95484647804</v>
      </c>
      <c r="CL26" s="62">
        <v>569235300</v>
      </c>
      <c r="CM26" s="63">
        <v>250543.7059859155</v>
      </c>
      <c r="CN26" s="62">
        <v>166025400</v>
      </c>
      <c r="CO26" s="63">
        <v>238200</v>
      </c>
      <c r="CP26" s="62">
        <v>191512800</v>
      </c>
      <c r="CQ26" s="63">
        <v>238200</v>
      </c>
      <c r="CR26" s="62">
        <v>89440400</v>
      </c>
      <c r="CS26" s="63">
        <v>187900</v>
      </c>
      <c r="CT26" s="62">
        <v>480702200</v>
      </c>
      <c r="CU26" s="63">
        <v>240471.33566783392</v>
      </c>
      <c r="CV26" s="62">
        <v>994130000</v>
      </c>
      <c r="CW26" s="63">
        <v>261475.53918990004</v>
      </c>
      <c r="CX26" s="62">
        <v>285969400</v>
      </c>
      <c r="CY26" s="63">
        <v>269021.07243650046</v>
      </c>
      <c r="CZ26" s="62">
        <v>54270200</v>
      </c>
      <c r="DA26" s="63">
        <v>234935.93073593074</v>
      </c>
      <c r="DB26" s="62">
        <v>148286300</v>
      </c>
      <c r="DC26" s="63">
        <v>242297.87581699347</v>
      </c>
      <c r="DD26" s="62">
        <v>117432600</v>
      </c>
      <c r="DE26" s="63">
        <v>238200</v>
      </c>
      <c r="DF26" s="62">
        <v>166978200</v>
      </c>
      <c r="DG26" s="63">
        <v>238200</v>
      </c>
      <c r="DH26" s="62">
        <v>105230700</v>
      </c>
      <c r="DI26" s="63">
        <v>345018.68852459016</v>
      </c>
      <c r="DJ26" s="62">
        <v>276318300</v>
      </c>
      <c r="DK26" s="63">
        <v>298077.99352750811</v>
      </c>
      <c r="DL26" s="62">
        <v>489940700</v>
      </c>
      <c r="DM26" s="63">
        <v>277901.70164492342</v>
      </c>
      <c r="DN26" s="62">
        <v>217589300</v>
      </c>
      <c r="DO26" s="63">
        <v>236510.10869565216</v>
      </c>
      <c r="DP26" s="62">
        <v>263828400</v>
      </c>
      <c r="DQ26" s="63">
        <v>231835.14938488576</v>
      </c>
      <c r="DR26" s="62">
        <v>765111100</v>
      </c>
      <c r="DS26" s="63">
        <v>239246.74796747966</v>
      </c>
      <c r="DT26" s="62">
        <v>224860800</v>
      </c>
      <c r="DU26" s="63">
        <v>238200</v>
      </c>
      <c r="DV26" s="62">
        <v>385558800</v>
      </c>
      <c r="DW26" s="63">
        <v>272287.28813559323</v>
      </c>
      <c r="DX26" s="62">
        <v>118356600</v>
      </c>
      <c r="DY26" s="63">
        <v>246576.25</v>
      </c>
      <c r="DZ26" s="62">
        <v>270537600</v>
      </c>
      <c r="EA26" s="63">
        <v>273546.61274014157</v>
      </c>
      <c r="EB26" s="62">
        <v>464846200</v>
      </c>
      <c r="EC26" s="63">
        <v>249514.8684916801</v>
      </c>
      <c r="ED26" s="62">
        <v>143482200</v>
      </c>
      <c r="EE26" s="63">
        <v>272779.84790874523</v>
      </c>
      <c r="EF26" s="62">
        <v>464576200</v>
      </c>
      <c r="EG26" s="63" t="e">
        <f t="shared" si="0"/>
        <v>#DIV/0!</v>
      </c>
      <c r="EH26" s="62">
        <v>105230700</v>
      </c>
      <c r="EI26" s="63">
        <v>345018.68852459016</v>
      </c>
      <c r="EJ26" s="62">
        <v>385558800</v>
      </c>
      <c r="EK26" s="63">
        <v>272287.28813559323</v>
      </c>
      <c r="EL26" s="62">
        <v>200802600</v>
      </c>
      <c r="EM26" s="63">
        <v>238200</v>
      </c>
      <c r="EN26" s="62">
        <v>1728133500</v>
      </c>
      <c r="EO26" s="63">
        <v>246629.58470101329</v>
      </c>
      <c r="EP26" s="62">
        <v>240582000</v>
      </c>
      <c r="EQ26" s="63">
        <v>238200</v>
      </c>
      <c r="ER26" s="62">
        <v>340255700</v>
      </c>
      <c r="ES26" s="63">
        <v>309604.82256596908</v>
      </c>
      <c r="ET26" s="62">
        <v>826667600</v>
      </c>
      <c r="EU26" s="63">
        <v>257048.3830845771</v>
      </c>
      <c r="EV26" s="62">
        <v>343203800</v>
      </c>
      <c r="EW26" s="63">
        <v>243234.44365698087</v>
      </c>
      <c r="EX26" s="62">
        <v>259984500</v>
      </c>
      <c r="EY26" s="63">
        <v>305864.1176470588</v>
      </c>
      <c r="EZ26" s="62">
        <v>325400400</v>
      </c>
      <c r="FA26" s="63">
        <v>290536.07142857142</v>
      </c>
      <c r="FB26" s="62">
        <v>657271700</v>
      </c>
      <c r="FC26" s="63">
        <v>232662.54867256636</v>
      </c>
      <c r="FD26" s="62">
        <v>298145100</v>
      </c>
      <c r="FE26" s="63">
        <v>254607.25875320239</v>
      </c>
      <c r="FF26" s="62">
        <v>730418600</v>
      </c>
      <c r="FG26" s="63">
        <v>284430.91900311527</v>
      </c>
      <c r="FH26" s="62">
        <v>138394200</v>
      </c>
      <c r="FI26" s="63">
        <v>238200</v>
      </c>
      <c r="FJ26" s="62">
        <v>123241000</v>
      </c>
      <c r="FK26" s="63">
        <v>249981.74442190668</v>
      </c>
      <c r="FL26" s="62">
        <v>347215900</v>
      </c>
      <c r="FM26" s="63">
        <v>260672.5975975976</v>
      </c>
      <c r="FN26" s="62">
        <v>19749600</v>
      </c>
      <c r="FO26" s="63">
        <v>379800</v>
      </c>
      <c r="FP26" s="39">
        <v>630110800</v>
      </c>
      <c r="FQ26" s="51">
        <v>256351.01708706265</v>
      </c>
      <c r="FR26" s="62">
        <v>8383200</v>
      </c>
      <c r="FS26" s="63">
        <v>419160</v>
      </c>
      <c r="FT26" s="62">
        <v>270537600</v>
      </c>
      <c r="FU26" s="63">
        <v>273546.61274014157</v>
      </c>
      <c r="FV26" s="62">
        <v>640681100</v>
      </c>
      <c r="FW26" s="63">
        <v>264198.39175257733</v>
      </c>
      <c r="FX26" s="62">
        <v>498272700</v>
      </c>
      <c r="FY26" s="63">
        <v>242586.51411879261</v>
      </c>
      <c r="FZ26" s="62">
        <v>340255700</v>
      </c>
      <c r="GA26" s="63">
        <v>309604.82256596908</v>
      </c>
      <c r="GB26" s="62">
        <v>826667600</v>
      </c>
      <c r="GC26" s="63">
        <v>257048.3830845771</v>
      </c>
      <c r="GD26" s="62">
        <v>649303700</v>
      </c>
      <c r="GE26" s="63">
        <v>248966.14263803681</v>
      </c>
      <c r="GF26" s="62">
        <v>678361154.24107146</v>
      </c>
      <c r="GG26" s="63">
        <v>339520.09721775347</v>
      </c>
      <c r="GH26" s="62">
        <v>514111722.32142854</v>
      </c>
      <c r="GI26" s="63">
        <v>321319.82645089284</v>
      </c>
      <c r="GJ26" s="62">
        <v>234356336.38392857</v>
      </c>
      <c r="GK26" s="63">
        <v>305549.33035714284</v>
      </c>
      <c r="GL26" s="62">
        <v>872954436.83035707</v>
      </c>
      <c r="GM26" s="63">
        <v>305549.33035714284</v>
      </c>
      <c r="GN26" s="62">
        <v>425874506.47321427</v>
      </c>
      <c r="GO26" s="63">
        <v>315696.44660727523</v>
      </c>
      <c r="GP26" s="62">
        <v>321125297.09821421</v>
      </c>
      <c r="GQ26" s="63">
        <v>337671.18517162377</v>
      </c>
      <c r="GR26" s="62">
        <v>660082748.10267854</v>
      </c>
      <c r="GS26" s="63">
        <v>324364.98678264301</v>
      </c>
      <c r="GT26" s="62">
        <v>229271275.89285713</v>
      </c>
      <c r="GU26" s="63">
        <v>354909.09580937639</v>
      </c>
      <c r="GV26" s="62">
        <v>337287694.41964281</v>
      </c>
      <c r="GW26" s="63">
        <v>296908.18170743203</v>
      </c>
      <c r="GX26" s="62">
        <v>214801179.2410714</v>
      </c>
      <c r="GY26" s="63">
        <v>305549.33035714284</v>
      </c>
      <c r="GZ26" s="62">
        <v>245661661.60714284</v>
      </c>
      <c r="HA26" s="63">
        <v>305549.33035714284</v>
      </c>
    </row>
    <row r="27" spans="1:209" x14ac:dyDescent="0.3">
      <c r="A27" s="49" t="s">
        <v>454</v>
      </c>
      <c r="B27" s="66"/>
      <c r="C27" s="67" t="s">
        <v>231</v>
      </c>
      <c r="D27" s="62">
        <v>127072000</v>
      </c>
      <c r="E27" s="63">
        <v>209000</v>
      </c>
      <c r="F27" s="22">
        <v>262086000</v>
      </c>
      <c r="G27" s="64">
        <v>209000</v>
      </c>
      <c r="H27" s="65">
        <v>131840000</v>
      </c>
      <c r="I27" s="64">
        <v>160000</v>
      </c>
      <c r="J27" s="62">
        <v>116320000</v>
      </c>
      <c r="K27" s="63">
        <v>160000</v>
      </c>
      <c r="L27" s="62">
        <v>31750000</v>
      </c>
      <c r="M27" s="63">
        <v>126494.02390438247</v>
      </c>
      <c r="N27" s="62">
        <v>147136000</v>
      </c>
      <c r="O27" s="63">
        <v>209000</v>
      </c>
      <c r="P27" s="62">
        <v>143520000</v>
      </c>
      <c r="Q27" s="63">
        <v>160000</v>
      </c>
      <c r="R27" s="62">
        <v>433105000</v>
      </c>
      <c r="S27" s="63">
        <v>235000</v>
      </c>
      <c r="T27" s="62">
        <v>349915000</v>
      </c>
      <c r="U27" s="63">
        <v>235000</v>
      </c>
      <c r="V27" s="62">
        <v>194815000</v>
      </c>
      <c r="W27" s="63">
        <v>235000</v>
      </c>
      <c r="X27" s="62">
        <v>138415000</v>
      </c>
      <c r="Y27" s="63">
        <v>235000</v>
      </c>
      <c r="Z27" s="62">
        <v>123375000</v>
      </c>
      <c r="AA27" s="63">
        <v>235000</v>
      </c>
      <c r="AB27" s="62">
        <v>809810000</v>
      </c>
      <c r="AC27" s="63">
        <v>235000</v>
      </c>
      <c r="AD27" s="62">
        <v>166320000</v>
      </c>
      <c r="AE27" s="63">
        <v>375440.18058690743</v>
      </c>
      <c r="AF27" s="62">
        <v>140805000</v>
      </c>
      <c r="AG27" s="63">
        <v>315000</v>
      </c>
      <c r="AH27" s="62">
        <v>235940000</v>
      </c>
      <c r="AI27" s="63">
        <v>235000</v>
      </c>
      <c r="AJ27" s="62">
        <v>77112000</v>
      </c>
      <c r="AK27" s="63">
        <v>378000</v>
      </c>
      <c r="AL27" s="62">
        <v>165190000</v>
      </c>
      <c r="AM27" s="63">
        <v>575574.91289198608</v>
      </c>
      <c r="AN27" s="62">
        <v>108675000</v>
      </c>
      <c r="AO27" s="63">
        <v>315000</v>
      </c>
      <c r="AP27" s="62">
        <v>182385000</v>
      </c>
      <c r="AQ27" s="63">
        <v>315000</v>
      </c>
      <c r="AR27" s="62">
        <v>509985000</v>
      </c>
      <c r="AS27" s="63">
        <v>315000</v>
      </c>
      <c r="AT27" s="62">
        <v>285390000</v>
      </c>
      <c r="AU27" s="63">
        <v>315000</v>
      </c>
      <c r="AV27" s="62">
        <v>289800000</v>
      </c>
      <c r="AW27" s="63">
        <v>315000</v>
      </c>
      <c r="AX27" s="62">
        <v>630315000</v>
      </c>
      <c r="AY27" s="63">
        <v>315000</v>
      </c>
      <c r="AZ27" s="62">
        <v>303345000</v>
      </c>
      <c r="BA27" s="63">
        <v>315000</v>
      </c>
      <c r="BB27" s="62">
        <v>197302500</v>
      </c>
      <c r="BC27" s="63">
        <v>197500</v>
      </c>
      <c r="BD27" s="62">
        <v>315630000</v>
      </c>
      <c r="BE27" s="63">
        <v>315000</v>
      </c>
      <c r="BF27" s="62">
        <v>109935000</v>
      </c>
      <c r="BG27" s="63">
        <v>315000</v>
      </c>
      <c r="BH27" s="62">
        <v>278460000</v>
      </c>
      <c r="BI27" s="63">
        <v>315000</v>
      </c>
      <c r="BJ27" s="62">
        <v>267750000</v>
      </c>
      <c r="BK27" s="63">
        <v>315000</v>
      </c>
      <c r="BL27" s="62">
        <v>451980000</v>
      </c>
      <c r="BM27" s="63">
        <v>736123.77850162867</v>
      </c>
      <c r="BN27" s="62">
        <v>134505000</v>
      </c>
      <c r="BO27" s="63">
        <v>315000</v>
      </c>
      <c r="BP27" s="62">
        <v>320355000</v>
      </c>
      <c r="BQ27" s="63">
        <v>315000</v>
      </c>
      <c r="BR27" s="62">
        <v>649740000</v>
      </c>
      <c r="BS27" s="63">
        <v>421361.86770428013</v>
      </c>
      <c r="BT27" s="62">
        <v>1737040000</v>
      </c>
      <c r="BU27" s="63">
        <v>580561.49732620316</v>
      </c>
      <c r="BV27" s="62">
        <v>701190000</v>
      </c>
      <c r="BW27" s="63">
        <v>315000</v>
      </c>
      <c r="BX27" s="62">
        <v>97335000</v>
      </c>
      <c r="BY27" s="63">
        <v>315000</v>
      </c>
      <c r="BZ27" s="62">
        <v>1118320000</v>
      </c>
      <c r="CA27" s="63">
        <v>1384059.4059405942</v>
      </c>
      <c r="CB27" s="62">
        <v>306999000</v>
      </c>
      <c r="CC27" s="63">
        <v>346500</v>
      </c>
      <c r="CD27" s="62">
        <v>163485000</v>
      </c>
      <c r="CE27" s="63">
        <v>315000</v>
      </c>
      <c r="CF27" s="62">
        <v>313110000</v>
      </c>
      <c r="CG27" s="63">
        <v>315000</v>
      </c>
      <c r="CH27" s="62">
        <v>179235000</v>
      </c>
      <c r="CI27" s="63">
        <v>315000</v>
      </c>
      <c r="CJ27" s="62">
        <v>1046430000</v>
      </c>
      <c r="CK27" s="63">
        <v>315000</v>
      </c>
      <c r="CL27" s="62">
        <v>715680000</v>
      </c>
      <c r="CM27" s="63">
        <v>315000</v>
      </c>
      <c r="CN27" s="62">
        <v>219555000</v>
      </c>
      <c r="CO27" s="63">
        <v>315000</v>
      </c>
      <c r="CP27" s="62">
        <v>253260000</v>
      </c>
      <c r="CQ27" s="63">
        <v>315000</v>
      </c>
      <c r="CR27" s="62">
        <v>42840000</v>
      </c>
      <c r="CS27" s="63">
        <v>90000</v>
      </c>
      <c r="CT27" s="62">
        <v>629685000</v>
      </c>
      <c r="CU27" s="63">
        <v>315000</v>
      </c>
      <c r="CV27" s="62">
        <v>1197630000</v>
      </c>
      <c r="CW27" s="63">
        <v>315000</v>
      </c>
      <c r="CX27" s="62">
        <v>334845000</v>
      </c>
      <c r="CY27" s="63">
        <v>315000</v>
      </c>
      <c r="CZ27" s="62">
        <v>72765000</v>
      </c>
      <c r="DA27" s="63">
        <v>315000</v>
      </c>
      <c r="DB27" s="62">
        <v>192780000</v>
      </c>
      <c r="DC27" s="63">
        <v>315000</v>
      </c>
      <c r="DD27" s="62">
        <v>155295000</v>
      </c>
      <c r="DE27" s="63">
        <v>315000</v>
      </c>
      <c r="DF27" s="62">
        <v>220815000</v>
      </c>
      <c r="DG27" s="63">
        <v>315000</v>
      </c>
      <c r="DH27" s="62">
        <v>553740000</v>
      </c>
      <c r="DI27" s="63">
        <v>1815540.9836065574</v>
      </c>
      <c r="DJ27" s="62">
        <v>292005000</v>
      </c>
      <c r="DK27" s="63">
        <v>315000</v>
      </c>
      <c r="DL27" s="62">
        <v>557550000</v>
      </c>
      <c r="DM27" s="63">
        <v>316250.7090187181</v>
      </c>
      <c r="DN27" s="62">
        <v>289800000</v>
      </c>
      <c r="DO27" s="63">
        <v>315000</v>
      </c>
      <c r="DP27" s="62">
        <v>358470000</v>
      </c>
      <c r="DQ27" s="63">
        <v>315000</v>
      </c>
      <c r="DR27" s="62">
        <v>3269700000</v>
      </c>
      <c r="DS27" s="63">
        <v>1022420.2626641651</v>
      </c>
      <c r="DT27" s="62">
        <v>634320000</v>
      </c>
      <c r="DU27" s="63">
        <v>671949.15254237293</v>
      </c>
      <c r="DV27" s="62">
        <v>446040000</v>
      </c>
      <c r="DW27" s="63">
        <v>315000</v>
      </c>
      <c r="DX27" s="62">
        <v>151200000</v>
      </c>
      <c r="DY27" s="63">
        <v>315000</v>
      </c>
      <c r="DZ27" s="62">
        <v>311535000</v>
      </c>
      <c r="EA27" s="63">
        <v>315000</v>
      </c>
      <c r="EB27" s="62">
        <v>586845000</v>
      </c>
      <c r="EC27" s="63">
        <v>315000</v>
      </c>
      <c r="ED27" s="62">
        <v>165690000</v>
      </c>
      <c r="EE27" s="63">
        <v>315000</v>
      </c>
      <c r="EF27" s="62">
        <v>1292304000</v>
      </c>
      <c r="EG27" s="63" t="e">
        <f t="shared" si="0"/>
        <v>#DIV/0!</v>
      </c>
      <c r="EH27" s="62">
        <v>558397000</v>
      </c>
      <c r="EI27" s="63">
        <v>1830809.8360655739</v>
      </c>
      <c r="EJ27" s="62">
        <v>446040000</v>
      </c>
      <c r="EK27" s="63">
        <v>315000</v>
      </c>
      <c r="EL27" s="62">
        <v>265545000</v>
      </c>
      <c r="EM27" s="63">
        <v>315000</v>
      </c>
      <c r="EN27" s="62">
        <v>2213640000</v>
      </c>
      <c r="EO27" s="63">
        <v>315918.36734693876</v>
      </c>
      <c r="EP27" s="62">
        <v>318150000</v>
      </c>
      <c r="EQ27" s="63">
        <v>315000</v>
      </c>
      <c r="ER27" s="62">
        <v>346185000</v>
      </c>
      <c r="ES27" s="63">
        <v>315000</v>
      </c>
      <c r="ET27" s="62">
        <v>1014930000</v>
      </c>
      <c r="EU27" s="63">
        <v>315587.6865671642</v>
      </c>
      <c r="EV27" s="62">
        <v>2525010000</v>
      </c>
      <c r="EW27" s="63">
        <v>1789518.0722891567</v>
      </c>
      <c r="EX27" s="62">
        <v>267750000</v>
      </c>
      <c r="EY27" s="63">
        <v>315000</v>
      </c>
      <c r="EZ27" s="62">
        <v>352800000</v>
      </c>
      <c r="FA27" s="63">
        <v>315000</v>
      </c>
      <c r="FB27" s="62">
        <v>889875000</v>
      </c>
      <c r="FC27" s="63">
        <v>315000</v>
      </c>
      <c r="FD27" s="62">
        <v>368865000</v>
      </c>
      <c r="FE27" s="63">
        <v>315000</v>
      </c>
      <c r="FF27" s="62">
        <v>808920000</v>
      </c>
      <c r="FG27" s="63">
        <v>315000</v>
      </c>
      <c r="FH27" s="62">
        <v>183015000</v>
      </c>
      <c r="FI27" s="63">
        <v>315000</v>
      </c>
      <c r="FJ27" s="62">
        <v>155295000</v>
      </c>
      <c r="FK27" s="63">
        <v>315000</v>
      </c>
      <c r="FL27" s="62">
        <v>422100000</v>
      </c>
      <c r="FM27" s="63">
        <v>316891.89189189189</v>
      </c>
      <c r="FN27" s="62">
        <v>0</v>
      </c>
      <c r="FO27" s="63">
        <v>0</v>
      </c>
      <c r="FP27" s="39">
        <v>774270000</v>
      </c>
      <c r="FQ27" s="51">
        <v>315000</v>
      </c>
      <c r="FR27" s="62">
        <v>0</v>
      </c>
      <c r="FS27" s="63">
        <v>0</v>
      </c>
      <c r="FT27" s="62">
        <v>390655000</v>
      </c>
      <c r="FU27" s="63">
        <v>395000</v>
      </c>
      <c r="FV27" s="62">
        <v>957875000</v>
      </c>
      <c r="FW27" s="63">
        <v>395000</v>
      </c>
      <c r="FX27" s="62">
        <v>811330000</v>
      </c>
      <c r="FY27" s="63">
        <v>395000</v>
      </c>
      <c r="FZ27" s="62">
        <v>617680000</v>
      </c>
      <c r="GA27" s="63">
        <v>562038.21656050952</v>
      </c>
      <c r="GB27" s="62">
        <v>1527600000</v>
      </c>
      <c r="GC27" s="63">
        <v>475000</v>
      </c>
      <c r="GD27" s="62">
        <v>981575000</v>
      </c>
      <c r="GE27" s="63">
        <v>376370.78220858896</v>
      </c>
      <c r="GF27" s="62">
        <v>795645000</v>
      </c>
      <c r="GG27" s="63">
        <v>398220.72072072071</v>
      </c>
      <c r="GH27" s="62">
        <v>632000000</v>
      </c>
      <c r="GI27" s="63">
        <v>395000</v>
      </c>
      <c r="GJ27" s="62">
        <v>303732000</v>
      </c>
      <c r="GK27" s="63">
        <v>396000</v>
      </c>
      <c r="GL27" s="62">
        <v>1128515000</v>
      </c>
      <c r="GM27" s="63">
        <v>395000</v>
      </c>
      <c r="GN27" s="62">
        <v>534204000</v>
      </c>
      <c r="GO27" s="63">
        <v>396000</v>
      </c>
      <c r="GP27" s="62">
        <v>375645000</v>
      </c>
      <c r="GQ27" s="63">
        <v>395000</v>
      </c>
      <c r="GR27" s="62">
        <v>803825000</v>
      </c>
      <c r="GS27" s="63">
        <v>395000</v>
      </c>
      <c r="GT27" s="62">
        <v>255170000</v>
      </c>
      <c r="GU27" s="63">
        <v>395000</v>
      </c>
      <c r="GV27" s="62">
        <v>448720000</v>
      </c>
      <c r="GW27" s="63">
        <v>395000</v>
      </c>
      <c r="GX27" s="62">
        <v>277685000</v>
      </c>
      <c r="GY27" s="63">
        <v>395000</v>
      </c>
      <c r="GZ27" s="62">
        <v>317580000</v>
      </c>
      <c r="HA27" s="63">
        <v>395000</v>
      </c>
    </row>
    <row r="28" spans="1:209" x14ac:dyDescent="0.3">
      <c r="A28" s="49" t="s">
        <v>454</v>
      </c>
      <c r="B28" s="66"/>
      <c r="C28" s="67" t="s">
        <v>232</v>
      </c>
      <c r="D28" s="62">
        <v>582894000</v>
      </c>
      <c r="E28" s="63">
        <v>958707.23684210528</v>
      </c>
      <c r="F28" s="22">
        <v>1296602000</v>
      </c>
      <c r="G28" s="64">
        <v>1033972.8867623605</v>
      </c>
      <c r="H28" s="65">
        <v>827012000</v>
      </c>
      <c r="I28" s="64">
        <v>1003655.3398058253</v>
      </c>
      <c r="J28" s="62">
        <v>800561000</v>
      </c>
      <c r="K28" s="63">
        <v>1101184.31911967</v>
      </c>
      <c r="L28" s="62">
        <v>419921000</v>
      </c>
      <c r="M28" s="63">
        <v>1672992.03187251</v>
      </c>
      <c r="N28" s="62">
        <v>750332000</v>
      </c>
      <c r="O28" s="63">
        <v>1065812.5</v>
      </c>
      <c r="P28" s="62">
        <v>854841000</v>
      </c>
      <c r="Q28" s="63">
        <v>953000</v>
      </c>
      <c r="R28" s="62">
        <v>1684679000</v>
      </c>
      <c r="S28" s="63">
        <v>914096.03906673903</v>
      </c>
      <c r="T28" s="62">
        <v>1584627000</v>
      </c>
      <c r="U28" s="63">
        <v>1064222.2968435192</v>
      </c>
      <c r="V28" s="62">
        <v>938117000</v>
      </c>
      <c r="W28" s="63">
        <v>1131624.8492159229</v>
      </c>
      <c r="X28" s="62">
        <v>577437000</v>
      </c>
      <c r="Y28" s="63">
        <v>980368.42105263157</v>
      </c>
      <c r="Z28" s="62">
        <v>530095000</v>
      </c>
      <c r="AA28" s="63">
        <v>1009704.7619047619</v>
      </c>
      <c r="AB28" s="62">
        <v>3888168000</v>
      </c>
      <c r="AC28" s="63">
        <v>1128313.40684852</v>
      </c>
      <c r="AD28" s="62">
        <v>489119000</v>
      </c>
      <c r="AE28" s="63">
        <v>1104106.0948081263</v>
      </c>
      <c r="AF28" s="62">
        <v>486331000</v>
      </c>
      <c r="AG28" s="63">
        <v>1087988.8143176734</v>
      </c>
      <c r="AH28" s="62">
        <v>1466469000</v>
      </c>
      <c r="AI28" s="63">
        <v>1460626.4940239044</v>
      </c>
      <c r="AJ28" s="62">
        <v>269402400</v>
      </c>
      <c r="AK28" s="63">
        <v>1320600</v>
      </c>
      <c r="AL28" s="62">
        <v>436697000</v>
      </c>
      <c r="AM28" s="63">
        <v>1521592.3344947735</v>
      </c>
      <c r="AN28" s="62">
        <v>665826097</v>
      </c>
      <c r="AO28" s="63">
        <v>1929930.7159420289</v>
      </c>
      <c r="AP28" s="62">
        <v>651587000</v>
      </c>
      <c r="AQ28" s="63">
        <v>1125366.1485319517</v>
      </c>
      <c r="AR28" s="62">
        <v>1760567000</v>
      </c>
      <c r="AS28" s="63">
        <v>1087441.0129709698</v>
      </c>
      <c r="AT28" s="62">
        <v>938668000</v>
      </c>
      <c r="AU28" s="63">
        <v>1036057.3951434878</v>
      </c>
      <c r="AV28" s="62">
        <v>998340000</v>
      </c>
      <c r="AW28" s="63">
        <v>1085152.1739130435</v>
      </c>
      <c r="AX28" s="62">
        <v>2774177000</v>
      </c>
      <c r="AY28" s="63">
        <v>1386395.3023488256</v>
      </c>
      <c r="AZ28" s="62">
        <v>1042989000</v>
      </c>
      <c r="BA28" s="63">
        <v>1083062.3052959503</v>
      </c>
      <c r="BB28" s="62">
        <v>1310459000</v>
      </c>
      <c r="BC28" s="63">
        <v>1311770.7707707707</v>
      </c>
      <c r="BD28" s="62">
        <v>1076664000</v>
      </c>
      <c r="BE28" s="63">
        <v>1074514.9700598803</v>
      </c>
      <c r="BF28" s="62">
        <v>413787000</v>
      </c>
      <c r="BG28" s="63">
        <v>1185636.1031518625</v>
      </c>
      <c r="BH28" s="62">
        <v>1029732000</v>
      </c>
      <c r="BI28" s="63">
        <v>1164855.2036199095</v>
      </c>
      <c r="BJ28" s="62">
        <v>1077740000</v>
      </c>
      <c r="BK28" s="63">
        <v>1267929.4117647058</v>
      </c>
      <c r="BL28" s="62">
        <v>1550555696</v>
      </c>
      <c r="BM28" s="63">
        <v>2525335.0097719869</v>
      </c>
      <c r="BN28" s="62">
        <v>483791000</v>
      </c>
      <c r="BO28" s="63">
        <v>1133000</v>
      </c>
      <c r="BP28" s="62">
        <v>1170506950</v>
      </c>
      <c r="BQ28" s="63">
        <v>1150940.9537856441</v>
      </c>
      <c r="BR28" s="62">
        <v>2057612600</v>
      </c>
      <c r="BS28" s="63">
        <v>1334379.1180285343</v>
      </c>
      <c r="BT28" s="62">
        <v>3290970200</v>
      </c>
      <c r="BU28" s="63">
        <v>1099923.1951871659</v>
      </c>
      <c r="BV28" s="62">
        <v>3153511300</v>
      </c>
      <c r="BW28" s="63">
        <v>1416671.7430368373</v>
      </c>
      <c r="BX28" s="62">
        <v>373071150</v>
      </c>
      <c r="BY28" s="63">
        <v>1207350</v>
      </c>
      <c r="BZ28" s="62">
        <v>1615978000</v>
      </c>
      <c r="CA28" s="63">
        <v>1999972.7722772278</v>
      </c>
      <c r="CB28" s="62">
        <v>1596108635.0000002</v>
      </c>
      <c r="CC28" s="63">
        <v>1801477.0146726866</v>
      </c>
      <c r="CD28" s="62">
        <v>620645650</v>
      </c>
      <c r="CE28" s="63">
        <v>1195849.0366088632</v>
      </c>
      <c r="CF28" s="62">
        <v>1273805900</v>
      </c>
      <c r="CG28" s="63">
        <v>1281494.8692152917</v>
      </c>
      <c r="CH28" s="62">
        <v>682659150</v>
      </c>
      <c r="CI28" s="63">
        <v>1199752.460456942</v>
      </c>
      <c r="CJ28" s="62">
        <v>4700909200</v>
      </c>
      <c r="CK28" s="63">
        <v>1415084.0457555689</v>
      </c>
      <c r="CL28" s="62">
        <v>2816029200</v>
      </c>
      <c r="CM28" s="63">
        <v>1239449.471830986</v>
      </c>
      <c r="CN28" s="62">
        <v>841522950</v>
      </c>
      <c r="CO28" s="63">
        <v>1207350</v>
      </c>
      <c r="CP28" s="62">
        <v>923287400</v>
      </c>
      <c r="CQ28" s="63">
        <v>1148367.4129353233</v>
      </c>
      <c r="CR28" s="62">
        <v>491327200</v>
      </c>
      <c r="CS28" s="63">
        <v>1032200</v>
      </c>
      <c r="CT28" s="62">
        <v>2460160800</v>
      </c>
      <c r="CU28" s="63">
        <v>1230695.747873937</v>
      </c>
      <c r="CV28" s="62">
        <v>10106075000</v>
      </c>
      <c r="CW28" s="63">
        <v>2658094.4239873751</v>
      </c>
      <c r="CX28" s="62">
        <v>1323490050</v>
      </c>
      <c r="CY28" s="63">
        <v>1245051.7873941674</v>
      </c>
      <c r="CZ28" s="62">
        <v>278316110</v>
      </c>
      <c r="DA28" s="63">
        <v>1204831.6450216451</v>
      </c>
      <c r="DB28" s="62">
        <v>699835200</v>
      </c>
      <c r="DC28" s="63">
        <v>1143521.5686274511</v>
      </c>
      <c r="DD28" s="62">
        <v>586577550</v>
      </c>
      <c r="DE28" s="63">
        <v>1189812.4746450305</v>
      </c>
      <c r="DF28" s="62">
        <v>846352350</v>
      </c>
      <c r="DG28" s="63">
        <v>1207350</v>
      </c>
      <c r="DH28" s="62">
        <v>1375200000</v>
      </c>
      <c r="DI28" s="63">
        <v>4508852.4590163939</v>
      </c>
      <c r="DJ28" s="62">
        <v>1846905000</v>
      </c>
      <c r="DK28" s="63">
        <v>1992346.2783171521</v>
      </c>
      <c r="DL28" s="62">
        <v>2223473500</v>
      </c>
      <c r="DM28" s="63">
        <v>1261187.4645490642</v>
      </c>
      <c r="DN28" s="62">
        <v>1069054000</v>
      </c>
      <c r="DO28" s="63">
        <v>1162015.2173913044</v>
      </c>
      <c r="DP28" s="62">
        <v>1575391800</v>
      </c>
      <c r="DQ28" s="63">
        <v>1384351.3181019332</v>
      </c>
      <c r="DR28" s="62">
        <v>5060840300</v>
      </c>
      <c r="DS28" s="63">
        <v>1582501.6572858037</v>
      </c>
      <c r="DT28" s="62">
        <v>1139738400</v>
      </c>
      <c r="DU28" s="63">
        <v>1207350</v>
      </c>
      <c r="DV28" s="62">
        <v>1809963800</v>
      </c>
      <c r="DW28" s="63">
        <v>1278223.0225988701</v>
      </c>
      <c r="DX28" s="62">
        <v>585048000</v>
      </c>
      <c r="DY28" s="63">
        <v>1218850</v>
      </c>
      <c r="DZ28" s="62">
        <v>1223601150</v>
      </c>
      <c r="EA28" s="63">
        <v>1237210.465116279</v>
      </c>
      <c r="EB28" s="62">
        <v>3627897790</v>
      </c>
      <c r="EC28" s="63">
        <v>1947341.8089103596</v>
      </c>
      <c r="ED28" s="62">
        <v>738356000</v>
      </c>
      <c r="EE28" s="63">
        <v>1403718.6311787071</v>
      </c>
      <c r="EF28" s="62">
        <v>1673807740</v>
      </c>
      <c r="EG28" s="63" t="e">
        <f t="shared" si="0"/>
        <v>#DIV/0!</v>
      </c>
      <c r="EH28" s="62">
        <v>1375200000</v>
      </c>
      <c r="EI28" s="63">
        <v>4508852.4590163939</v>
      </c>
      <c r="EJ28" s="62">
        <v>1809963800</v>
      </c>
      <c r="EK28" s="63">
        <v>1278223.0225988701</v>
      </c>
      <c r="EL28" s="62">
        <v>996705050</v>
      </c>
      <c r="EM28" s="63">
        <v>1182331.0201660735</v>
      </c>
      <c r="EN28" s="62">
        <v>8049444450</v>
      </c>
      <c r="EO28" s="63">
        <v>1148771.8638504352</v>
      </c>
      <c r="EP28" s="62">
        <v>1219423500</v>
      </c>
      <c r="EQ28" s="63">
        <v>1207350</v>
      </c>
      <c r="ER28" s="62">
        <v>1479795650</v>
      </c>
      <c r="ES28" s="63">
        <v>1346492.857142857</v>
      </c>
      <c r="ET28" s="62">
        <v>3997917600</v>
      </c>
      <c r="EU28" s="63">
        <v>1243133.5820895522</v>
      </c>
      <c r="EV28" s="62">
        <v>2122514900</v>
      </c>
      <c r="EW28" s="63">
        <v>1504262.8632175762</v>
      </c>
      <c r="EX28" s="62">
        <v>1094930500</v>
      </c>
      <c r="EY28" s="63">
        <v>1288153.5294117648</v>
      </c>
      <c r="EZ28" s="62">
        <v>1471604000</v>
      </c>
      <c r="FA28" s="63">
        <v>1313932.142857143</v>
      </c>
      <c r="FB28" s="62">
        <v>3151961750</v>
      </c>
      <c r="FC28" s="63">
        <v>1115738.6725663717</v>
      </c>
      <c r="FD28" s="62">
        <v>1448042850</v>
      </c>
      <c r="FE28" s="63">
        <v>1236586.5499573015</v>
      </c>
      <c r="FF28" s="62">
        <v>3014597800</v>
      </c>
      <c r="FG28" s="63">
        <v>1173908.800623053</v>
      </c>
      <c r="FH28" s="62">
        <v>650380350</v>
      </c>
      <c r="FI28" s="63">
        <v>1119415.4044750431</v>
      </c>
      <c r="FJ28" s="62">
        <v>593614550</v>
      </c>
      <c r="FK28" s="63">
        <v>1204086.3083164301</v>
      </c>
      <c r="FL28" s="62">
        <v>1552254200</v>
      </c>
      <c r="FM28" s="63">
        <v>1165356.0060060059</v>
      </c>
      <c r="FN28" s="62">
        <v>72482200</v>
      </c>
      <c r="FO28" s="63">
        <v>1393888.4615384615</v>
      </c>
      <c r="FP28" s="39">
        <v>3017779300</v>
      </c>
      <c r="FQ28" s="51">
        <v>1227737.7135882832</v>
      </c>
      <c r="FR28" s="62">
        <v>44532000</v>
      </c>
      <c r="FS28" s="63">
        <v>2226600</v>
      </c>
      <c r="FT28" s="62">
        <v>1223601150</v>
      </c>
      <c r="FU28" s="63">
        <v>1237210.465116279</v>
      </c>
      <c r="FV28" s="62">
        <v>2972485750</v>
      </c>
      <c r="FW28" s="63">
        <v>1225767.3195876288</v>
      </c>
      <c r="FX28" s="62">
        <v>2301979900</v>
      </c>
      <c r="FY28" s="63">
        <v>1120730.2336903603</v>
      </c>
      <c r="FZ28" s="62">
        <v>1479687650</v>
      </c>
      <c r="GA28" s="63">
        <v>1346394.585987261</v>
      </c>
      <c r="GB28" s="62">
        <v>3983939600</v>
      </c>
      <c r="GC28" s="63">
        <v>1238787.1890547264</v>
      </c>
      <c r="GD28" s="62">
        <v>3737648100</v>
      </c>
      <c r="GE28" s="63">
        <v>1433147.277607362</v>
      </c>
      <c r="GF28" s="62">
        <v>3143232210</v>
      </c>
      <c r="GG28" s="63">
        <v>1573189.2942942942</v>
      </c>
      <c r="GH28" s="62">
        <v>2147942160</v>
      </c>
      <c r="GI28" s="63">
        <v>1342463.85</v>
      </c>
      <c r="GJ28" s="62">
        <v>1018641195</v>
      </c>
      <c r="GK28" s="63">
        <v>1328085</v>
      </c>
      <c r="GL28" s="62">
        <v>3601677145</v>
      </c>
      <c r="GM28" s="63">
        <v>1260650.0332516625</v>
      </c>
      <c r="GN28" s="62">
        <v>1767221975</v>
      </c>
      <c r="GO28" s="63">
        <v>1310023.7027427724</v>
      </c>
      <c r="GP28" s="62">
        <v>1291890435</v>
      </c>
      <c r="GQ28" s="63">
        <v>1358454.716088328</v>
      </c>
      <c r="GR28" s="62">
        <v>2739451275</v>
      </c>
      <c r="GS28" s="63">
        <v>1346167.7027027027</v>
      </c>
      <c r="GT28" s="62">
        <v>895127005</v>
      </c>
      <c r="GU28" s="63">
        <v>1385645.5185758513</v>
      </c>
      <c r="GV28" s="62">
        <v>1652912610</v>
      </c>
      <c r="GW28" s="63">
        <v>1455028.7059859154</v>
      </c>
      <c r="GX28" s="62">
        <v>886955355</v>
      </c>
      <c r="GY28" s="63">
        <v>1261671.9132290184</v>
      </c>
      <c r="GZ28" s="62">
        <v>1015616140</v>
      </c>
      <c r="HA28" s="63">
        <v>1263204.1542288556</v>
      </c>
    </row>
    <row r="29" spans="1:209" x14ac:dyDescent="0.3">
      <c r="A29" s="68" t="s">
        <v>455</v>
      </c>
      <c r="B29" s="66"/>
      <c r="C29" s="67" t="s">
        <v>233</v>
      </c>
      <c r="D29" s="62">
        <v>200000000</v>
      </c>
      <c r="E29" s="63">
        <v>328947.36842105264</v>
      </c>
      <c r="F29" s="22">
        <v>0</v>
      </c>
      <c r="G29" s="64">
        <v>0</v>
      </c>
      <c r="H29" s="65">
        <v>200000000</v>
      </c>
      <c r="I29" s="64">
        <v>242718.44660194175</v>
      </c>
      <c r="J29" s="62">
        <v>200000000</v>
      </c>
      <c r="K29" s="63">
        <v>275103.16368638241</v>
      </c>
      <c r="L29" s="62">
        <v>0</v>
      </c>
      <c r="M29" s="63">
        <v>0</v>
      </c>
      <c r="N29" s="62">
        <v>30000000</v>
      </c>
      <c r="O29" s="63">
        <v>42613.63636363636</v>
      </c>
      <c r="P29" s="62">
        <v>30000000</v>
      </c>
      <c r="Q29" s="63">
        <v>33444.816053511706</v>
      </c>
      <c r="R29" s="62">
        <v>30000000</v>
      </c>
      <c r="S29" s="63">
        <v>16277.807921866523</v>
      </c>
      <c r="T29" s="62">
        <v>30000000</v>
      </c>
      <c r="U29" s="63">
        <v>20147.750167897917</v>
      </c>
      <c r="V29" s="62">
        <v>0</v>
      </c>
      <c r="W29" s="63">
        <v>0</v>
      </c>
      <c r="X29" s="62">
        <v>40000000</v>
      </c>
      <c r="Y29" s="63">
        <v>67911.71477079796</v>
      </c>
      <c r="Z29" s="62">
        <v>0</v>
      </c>
      <c r="AA29" s="63">
        <v>0</v>
      </c>
      <c r="AB29" s="62">
        <v>266000000</v>
      </c>
      <c r="AC29" s="63">
        <v>77190.946024376084</v>
      </c>
      <c r="AD29" s="62">
        <v>40000000</v>
      </c>
      <c r="AE29" s="63">
        <v>90293.453724604973</v>
      </c>
      <c r="AF29" s="62">
        <v>0</v>
      </c>
      <c r="AG29" s="63">
        <v>0</v>
      </c>
      <c r="AH29" s="62">
        <v>0</v>
      </c>
      <c r="AI29" s="63">
        <v>0</v>
      </c>
      <c r="AJ29" s="62">
        <v>0</v>
      </c>
      <c r="AK29" s="63">
        <v>0</v>
      </c>
      <c r="AL29" s="62">
        <v>140000000</v>
      </c>
      <c r="AM29" s="63">
        <v>487804.87804878049</v>
      </c>
      <c r="AN29" s="62">
        <v>40000000</v>
      </c>
      <c r="AO29" s="63">
        <v>115942.02898550725</v>
      </c>
      <c r="AP29" s="62">
        <v>0</v>
      </c>
      <c r="AQ29" s="63">
        <v>0</v>
      </c>
      <c r="AR29" s="62">
        <v>40000000</v>
      </c>
      <c r="AS29" s="63">
        <v>24706.609017912291</v>
      </c>
      <c r="AT29" s="62">
        <v>40000000</v>
      </c>
      <c r="AU29" s="63">
        <v>44150.110375275937</v>
      </c>
      <c r="AV29" s="62">
        <v>266000000</v>
      </c>
      <c r="AW29" s="63">
        <v>289130.4347826087</v>
      </c>
      <c r="AX29" s="62">
        <v>266000000</v>
      </c>
      <c r="AY29" s="63">
        <v>132933.53323338332</v>
      </c>
      <c r="AZ29" s="62">
        <v>266000000</v>
      </c>
      <c r="BA29" s="63">
        <v>276220.14537902386</v>
      </c>
      <c r="BB29" s="62">
        <v>40000000</v>
      </c>
      <c r="BC29" s="63">
        <v>40040.040040040039</v>
      </c>
      <c r="BD29" s="62">
        <v>266000000</v>
      </c>
      <c r="BE29" s="63">
        <v>265469.06187624752</v>
      </c>
      <c r="BF29" s="62">
        <v>0</v>
      </c>
      <c r="BG29" s="63">
        <v>0</v>
      </c>
      <c r="BH29" s="62">
        <v>0</v>
      </c>
      <c r="BI29" s="63">
        <v>0</v>
      </c>
      <c r="BJ29" s="62">
        <v>266000000</v>
      </c>
      <c r="BK29" s="63">
        <v>312941.17647058825</v>
      </c>
      <c r="BL29" s="62">
        <v>266000000</v>
      </c>
      <c r="BM29" s="63">
        <v>433224.75570032571</v>
      </c>
      <c r="BN29" s="62">
        <v>40000000</v>
      </c>
      <c r="BO29" s="63">
        <v>93676.814988290396</v>
      </c>
      <c r="BP29" s="62">
        <v>40000000</v>
      </c>
      <c r="BQ29" s="63">
        <v>39331.36676499508</v>
      </c>
      <c r="BR29" s="62">
        <v>266000000</v>
      </c>
      <c r="BS29" s="63">
        <v>172503.24254215305</v>
      </c>
      <c r="BT29" s="62">
        <v>266000000</v>
      </c>
      <c r="BU29" s="63">
        <v>88903.743315508022</v>
      </c>
      <c r="BV29" s="62">
        <v>532000000</v>
      </c>
      <c r="BW29" s="63">
        <v>238993.71069182389</v>
      </c>
      <c r="BX29" s="62">
        <v>0</v>
      </c>
      <c r="BY29" s="63">
        <v>0</v>
      </c>
      <c r="BZ29" s="62">
        <v>40000000</v>
      </c>
      <c r="CA29" s="63">
        <v>49504.950495049503</v>
      </c>
      <c r="CB29" s="62">
        <v>40000000</v>
      </c>
      <c r="CC29" s="63">
        <v>45146.726862302487</v>
      </c>
      <c r="CD29" s="62">
        <v>0</v>
      </c>
      <c r="CE29" s="63">
        <v>0</v>
      </c>
      <c r="CF29" s="62">
        <v>0</v>
      </c>
      <c r="CG29" s="63">
        <v>0</v>
      </c>
      <c r="CH29" s="62">
        <v>0</v>
      </c>
      <c r="CI29" s="63">
        <v>0</v>
      </c>
      <c r="CJ29" s="62">
        <v>532000000</v>
      </c>
      <c r="CK29" s="63">
        <v>160144.49127031909</v>
      </c>
      <c r="CL29" s="62">
        <v>266000000</v>
      </c>
      <c r="CM29" s="63">
        <v>117077.4647887324</v>
      </c>
      <c r="CN29" s="62">
        <v>266000000</v>
      </c>
      <c r="CO29" s="63">
        <v>381635.58106169297</v>
      </c>
      <c r="CP29" s="62">
        <v>266000000</v>
      </c>
      <c r="CQ29" s="63">
        <v>330845.77114427858</v>
      </c>
      <c r="CR29" s="62">
        <v>0</v>
      </c>
      <c r="CS29" s="63">
        <v>0</v>
      </c>
      <c r="CT29" s="62">
        <v>40000000</v>
      </c>
      <c r="CU29" s="63">
        <v>20010.00500250125</v>
      </c>
      <c r="CV29" s="62">
        <v>532000000</v>
      </c>
      <c r="CW29" s="63">
        <v>139926.35455023672</v>
      </c>
      <c r="CX29" s="62">
        <v>40000000</v>
      </c>
      <c r="CY29" s="63">
        <v>37629.350893697083</v>
      </c>
      <c r="CZ29" s="62">
        <v>0</v>
      </c>
      <c r="DA29" s="63">
        <v>0</v>
      </c>
      <c r="DB29" s="62">
        <v>0</v>
      </c>
      <c r="DC29" s="63">
        <v>0</v>
      </c>
      <c r="DD29" s="62">
        <v>0</v>
      </c>
      <c r="DE29" s="63">
        <v>0</v>
      </c>
      <c r="DF29" s="62">
        <v>0</v>
      </c>
      <c r="DG29" s="63">
        <v>0</v>
      </c>
      <c r="DH29" s="62">
        <v>80000000</v>
      </c>
      <c r="DI29" s="63">
        <v>262295.08196721313</v>
      </c>
      <c r="DJ29" s="62">
        <v>0</v>
      </c>
      <c r="DK29" s="63">
        <v>0</v>
      </c>
      <c r="DL29" s="62">
        <v>240000000</v>
      </c>
      <c r="DM29" s="63">
        <v>136131.59387407827</v>
      </c>
      <c r="DN29" s="62">
        <v>0</v>
      </c>
      <c r="DO29" s="63">
        <v>0</v>
      </c>
      <c r="DP29" s="62">
        <v>0</v>
      </c>
      <c r="DQ29" s="63">
        <v>0</v>
      </c>
      <c r="DR29" s="62">
        <v>266000000</v>
      </c>
      <c r="DS29" s="63">
        <v>83176.985616010003</v>
      </c>
      <c r="DT29" s="62">
        <v>0</v>
      </c>
      <c r="DU29" s="63">
        <v>0</v>
      </c>
      <c r="DV29" s="62">
        <v>0</v>
      </c>
      <c r="DW29" s="63">
        <v>0</v>
      </c>
      <c r="DX29" s="62">
        <v>0</v>
      </c>
      <c r="DY29" s="63">
        <v>0</v>
      </c>
      <c r="DZ29" s="62">
        <v>0</v>
      </c>
      <c r="EA29" s="63">
        <v>0</v>
      </c>
      <c r="EB29" s="62">
        <v>266000000</v>
      </c>
      <c r="EC29" s="63">
        <v>142780.46162104132</v>
      </c>
      <c r="ED29" s="62">
        <v>266000000</v>
      </c>
      <c r="EE29" s="63">
        <v>505703.42205323192</v>
      </c>
      <c r="EF29" s="62">
        <v>266000000</v>
      </c>
      <c r="EG29" s="63" t="e">
        <f t="shared" si="0"/>
        <v>#DIV/0!</v>
      </c>
      <c r="EH29" s="62">
        <v>80000000</v>
      </c>
      <c r="EI29" s="63">
        <v>262295.08196721313</v>
      </c>
      <c r="EJ29" s="62">
        <v>0</v>
      </c>
      <c r="EK29" s="63">
        <v>0</v>
      </c>
      <c r="EL29" s="62">
        <v>0</v>
      </c>
      <c r="EM29" s="63">
        <v>0</v>
      </c>
      <c r="EN29" s="62">
        <v>1064000000</v>
      </c>
      <c r="EO29" s="63">
        <v>151848.15184815184</v>
      </c>
      <c r="EP29" s="62">
        <v>0</v>
      </c>
      <c r="EQ29" s="63">
        <v>0</v>
      </c>
      <c r="ER29" s="62">
        <v>266000000</v>
      </c>
      <c r="ES29" s="63">
        <v>242038.21656050955</v>
      </c>
      <c r="ET29" s="62">
        <v>292600000</v>
      </c>
      <c r="EU29" s="63">
        <v>90982.587064676612</v>
      </c>
      <c r="EV29" s="62">
        <v>0</v>
      </c>
      <c r="EW29" s="63">
        <v>0</v>
      </c>
      <c r="EX29" s="62">
        <v>266000000</v>
      </c>
      <c r="EY29" s="63">
        <v>312941.17647058825</v>
      </c>
      <c r="EZ29" s="62">
        <v>266000000</v>
      </c>
      <c r="FA29" s="63">
        <v>237500</v>
      </c>
      <c r="FB29" s="62">
        <v>266000000</v>
      </c>
      <c r="FC29" s="63">
        <v>94159.292035398234</v>
      </c>
      <c r="FD29" s="62">
        <v>266000000</v>
      </c>
      <c r="FE29" s="63">
        <v>227156.27668659267</v>
      </c>
      <c r="FF29" s="62">
        <v>40000000</v>
      </c>
      <c r="FG29" s="63">
        <v>15576.323987538941</v>
      </c>
      <c r="FH29" s="62">
        <v>0</v>
      </c>
      <c r="FI29" s="63">
        <v>0</v>
      </c>
      <c r="FJ29" s="62">
        <v>0</v>
      </c>
      <c r="FK29" s="63">
        <v>0</v>
      </c>
      <c r="FL29" s="62">
        <v>0</v>
      </c>
      <c r="FM29" s="63">
        <v>0</v>
      </c>
      <c r="FN29" s="62">
        <v>40000000</v>
      </c>
      <c r="FO29" s="63">
        <v>769230.76923076925</v>
      </c>
      <c r="FP29" s="39">
        <v>266000000</v>
      </c>
      <c r="FQ29" s="51">
        <v>108218.06346623271</v>
      </c>
      <c r="FR29" s="62">
        <v>0</v>
      </c>
      <c r="FS29" s="63">
        <v>0</v>
      </c>
      <c r="FT29" s="62">
        <v>216000000</v>
      </c>
      <c r="FU29" s="63">
        <v>218402.42669362994</v>
      </c>
      <c r="FV29" s="62">
        <v>216000000</v>
      </c>
      <c r="FW29" s="63">
        <v>89072.164948453603</v>
      </c>
      <c r="FX29" s="62">
        <v>216000000</v>
      </c>
      <c r="FY29" s="63">
        <v>105160.66212268744</v>
      </c>
      <c r="FZ29" s="62">
        <v>216000000</v>
      </c>
      <c r="GA29" s="63">
        <v>196542.31119199272</v>
      </c>
      <c r="GB29" s="62">
        <v>216000000</v>
      </c>
      <c r="GC29" s="63">
        <v>67164.179104477618</v>
      </c>
      <c r="GD29" s="62">
        <v>216000000</v>
      </c>
      <c r="GE29" s="63">
        <v>82822.085889570546</v>
      </c>
      <c r="GF29" s="62">
        <v>216000000</v>
      </c>
      <c r="GG29" s="63">
        <v>108108.10810810811</v>
      </c>
      <c r="GH29" s="62">
        <v>256000000</v>
      </c>
      <c r="GI29" s="63">
        <v>160000</v>
      </c>
      <c r="GJ29" s="62">
        <v>53400000</v>
      </c>
      <c r="GK29" s="63">
        <v>69621.903520208609</v>
      </c>
      <c r="GL29" s="62">
        <v>0</v>
      </c>
      <c r="GM29" s="63">
        <v>0</v>
      </c>
      <c r="GN29" s="62">
        <v>266000000</v>
      </c>
      <c r="GO29" s="63">
        <v>197183.09859154929</v>
      </c>
      <c r="GP29" s="62">
        <v>50000000</v>
      </c>
      <c r="GQ29" s="63">
        <v>52576.235541535229</v>
      </c>
      <c r="GR29" s="62">
        <v>0</v>
      </c>
      <c r="GS29" s="63">
        <v>0</v>
      </c>
      <c r="GT29" s="62">
        <v>0</v>
      </c>
      <c r="GU29" s="63">
        <v>0</v>
      </c>
      <c r="GV29" s="62">
        <v>0</v>
      </c>
      <c r="GW29" s="63">
        <v>0</v>
      </c>
      <c r="GX29" s="62">
        <v>0</v>
      </c>
      <c r="GY29" s="63">
        <v>0</v>
      </c>
      <c r="GZ29" s="62">
        <v>266000000</v>
      </c>
      <c r="HA29" s="63">
        <v>330845.77114427858</v>
      </c>
    </row>
    <row r="30" spans="1:209" x14ac:dyDescent="0.3">
      <c r="A30" s="68" t="s">
        <v>455</v>
      </c>
      <c r="B30" s="66"/>
      <c r="C30" s="67" t="s">
        <v>234</v>
      </c>
      <c r="D30" s="62">
        <v>0</v>
      </c>
      <c r="E30" s="63">
        <v>0</v>
      </c>
      <c r="F30" s="22">
        <v>0</v>
      </c>
      <c r="G30" s="64">
        <v>0</v>
      </c>
      <c r="H30" s="65">
        <v>0</v>
      </c>
      <c r="I30" s="64">
        <v>0</v>
      </c>
      <c r="J30" s="62">
        <v>0</v>
      </c>
      <c r="K30" s="63">
        <v>0</v>
      </c>
      <c r="L30" s="62">
        <v>877300000</v>
      </c>
      <c r="M30" s="63">
        <v>3495219.1235059761</v>
      </c>
      <c r="N30" s="62">
        <v>0</v>
      </c>
      <c r="O30" s="63">
        <v>0</v>
      </c>
      <c r="P30" s="62">
        <v>0</v>
      </c>
      <c r="Q30" s="63">
        <v>0</v>
      </c>
      <c r="R30" s="62">
        <v>0</v>
      </c>
      <c r="S30" s="63">
        <v>0</v>
      </c>
      <c r="T30" s="62">
        <v>0</v>
      </c>
      <c r="U30" s="63">
        <v>0</v>
      </c>
      <c r="V30" s="62">
        <v>0</v>
      </c>
      <c r="W30" s="63">
        <v>0</v>
      </c>
      <c r="X30" s="62">
        <v>0</v>
      </c>
      <c r="Y30" s="63">
        <v>0</v>
      </c>
      <c r="Z30" s="62">
        <v>0</v>
      </c>
      <c r="AA30" s="63">
        <v>0</v>
      </c>
      <c r="AB30" s="62">
        <v>1132600000</v>
      </c>
      <c r="AC30" s="63">
        <v>328670.92280905397</v>
      </c>
      <c r="AD30" s="62">
        <v>0</v>
      </c>
      <c r="AE30" s="63">
        <v>0</v>
      </c>
      <c r="AF30" s="62">
        <v>0</v>
      </c>
      <c r="AG30" s="63">
        <v>0</v>
      </c>
      <c r="AH30" s="62">
        <v>0</v>
      </c>
      <c r="AI30" s="63">
        <v>0</v>
      </c>
      <c r="AJ30" s="62">
        <v>0</v>
      </c>
      <c r="AK30" s="63">
        <v>0</v>
      </c>
      <c r="AL30" s="62">
        <v>0</v>
      </c>
      <c r="AM30" s="63">
        <v>0</v>
      </c>
      <c r="AN30" s="62">
        <v>828400000</v>
      </c>
      <c r="AO30" s="63">
        <v>2401159.420289855</v>
      </c>
      <c r="AP30" s="62">
        <v>0</v>
      </c>
      <c r="AQ30" s="63">
        <v>0</v>
      </c>
      <c r="AR30" s="62">
        <v>0</v>
      </c>
      <c r="AS30" s="63">
        <v>0</v>
      </c>
      <c r="AT30" s="62">
        <v>0</v>
      </c>
      <c r="AU30" s="63">
        <v>0</v>
      </c>
      <c r="AV30" s="62">
        <v>0</v>
      </c>
      <c r="AW30" s="63">
        <v>0</v>
      </c>
      <c r="AX30" s="62">
        <v>15800000000</v>
      </c>
      <c r="AY30" s="63">
        <v>7896051.9740129933</v>
      </c>
      <c r="AZ30" s="62">
        <v>0</v>
      </c>
      <c r="BA30" s="63">
        <v>0</v>
      </c>
      <c r="BB30" s="62">
        <v>0</v>
      </c>
      <c r="BC30" s="63">
        <v>0</v>
      </c>
      <c r="BD30" s="62">
        <v>0</v>
      </c>
      <c r="BE30" s="63">
        <v>0</v>
      </c>
      <c r="BF30" s="62">
        <v>0</v>
      </c>
      <c r="BG30" s="63">
        <v>0</v>
      </c>
      <c r="BH30" s="62">
        <v>0</v>
      </c>
      <c r="BI30" s="63">
        <v>0</v>
      </c>
      <c r="BJ30" s="62">
        <v>0</v>
      </c>
      <c r="BK30" s="63">
        <v>0</v>
      </c>
      <c r="BL30" s="62">
        <v>0</v>
      </c>
      <c r="BM30" s="63">
        <v>0</v>
      </c>
      <c r="BN30" s="62">
        <v>0</v>
      </c>
      <c r="BO30" s="63">
        <v>0</v>
      </c>
      <c r="BP30" s="62">
        <v>0</v>
      </c>
      <c r="BQ30" s="63">
        <v>0</v>
      </c>
      <c r="BR30" s="62">
        <v>0</v>
      </c>
      <c r="BS30" s="63">
        <v>0</v>
      </c>
      <c r="BT30" s="62">
        <v>0</v>
      </c>
      <c r="BU30" s="63">
        <v>0</v>
      </c>
      <c r="BV30" s="62">
        <v>0</v>
      </c>
      <c r="BW30" s="63">
        <v>0</v>
      </c>
      <c r="BX30" s="62">
        <v>0</v>
      </c>
      <c r="BY30" s="63">
        <v>0</v>
      </c>
      <c r="BZ30" s="62">
        <v>3070400000</v>
      </c>
      <c r="CA30" s="63">
        <v>3800000</v>
      </c>
      <c r="CB30" s="62">
        <v>0</v>
      </c>
      <c r="CC30" s="63">
        <v>0</v>
      </c>
      <c r="CD30" s="62">
        <v>0</v>
      </c>
      <c r="CE30" s="63">
        <v>0</v>
      </c>
      <c r="CF30" s="62">
        <v>0</v>
      </c>
      <c r="CG30" s="63">
        <v>0</v>
      </c>
      <c r="CH30" s="62">
        <v>0</v>
      </c>
      <c r="CI30" s="63">
        <v>0</v>
      </c>
      <c r="CJ30" s="62">
        <v>11545700000</v>
      </c>
      <c r="CK30" s="63">
        <v>3475526.7910897052</v>
      </c>
      <c r="CL30" s="62">
        <v>0</v>
      </c>
      <c r="CM30" s="63">
        <v>0</v>
      </c>
      <c r="CN30" s="62">
        <v>0</v>
      </c>
      <c r="CO30" s="63">
        <v>0</v>
      </c>
      <c r="CP30" s="62">
        <v>0</v>
      </c>
      <c r="CQ30" s="63">
        <v>0</v>
      </c>
      <c r="CR30" s="62">
        <v>0</v>
      </c>
      <c r="CS30" s="63">
        <v>0</v>
      </c>
      <c r="CT30" s="62">
        <v>0</v>
      </c>
      <c r="CU30" s="63">
        <v>0</v>
      </c>
      <c r="CV30" s="62">
        <v>18000000000</v>
      </c>
      <c r="CW30" s="63">
        <v>4734350.3419253025</v>
      </c>
      <c r="CX30" s="62">
        <v>0</v>
      </c>
      <c r="CY30" s="63">
        <v>0</v>
      </c>
      <c r="CZ30" s="62">
        <v>0</v>
      </c>
      <c r="DA30" s="63">
        <v>0</v>
      </c>
      <c r="DB30" s="62">
        <v>0</v>
      </c>
      <c r="DC30" s="63">
        <v>0</v>
      </c>
      <c r="DD30" s="62">
        <v>0</v>
      </c>
      <c r="DE30" s="63">
        <v>0</v>
      </c>
      <c r="DF30" s="62">
        <v>0</v>
      </c>
      <c r="DG30" s="63">
        <v>0</v>
      </c>
      <c r="DH30" s="62">
        <v>0</v>
      </c>
      <c r="DI30" s="63">
        <v>0</v>
      </c>
      <c r="DJ30" s="62">
        <v>0</v>
      </c>
      <c r="DK30" s="63">
        <v>0</v>
      </c>
      <c r="DL30" s="62">
        <v>0</v>
      </c>
      <c r="DM30" s="63">
        <v>0</v>
      </c>
      <c r="DN30" s="62">
        <v>5060000000</v>
      </c>
      <c r="DO30" s="63">
        <v>5500000</v>
      </c>
      <c r="DP30" s="62">
        <v>0</v>
      </c>
      <c r="DQ30" s="63">
        <v>0</v>
      </c>
      <c r="DR30" s="62">
        <v>12518861209.964415</v>
      </c>
      <c r="DS30" s="63">
        <v>3914590.7473309613</v>
      </c>
      <c r="DT30" s="62">
        <v>0</v>
      </c>
      <c r="DU30" s="63">
        <v>0</v>
      </c>
      <c r="DV30" s="62">
        <v>2440000000</v>
      </c>
      <c r="DW30" s="63">
        <v>1723163.8418079095</v>
      </c>
      <c r="DX30" s="62">
        <v>0</v>
      </c>
      <c r="DY30" s="63">
        <v>0</v>
      </c>
      <c r="DZ30" s="62">
        <v>0</v>
      </c>
      <c r="EA30" s="63">
        <v>0</v>
      </c>
      <c r="EB30" s="62">
        <v>0</v>
      </c>
      <c r="EC30" s="63">
        <v>0</v>
      </c>
      <c r="ED30" s="62">
        <v>0</v>
      </c>
      <c r="EE30" s="63">
        <v>0</v>
      </c>
      <c r="EF30" s="62"/>
      <c r="EG30" s="63" t="e">
        <f t="shared" si="0"/>
        <v>#DIV/0!</v>
      </c>
      <c r="EH30" s="62">
        <v>0</v>
      </c>
      <c r="EI30" s="63">
        <v>0</v>
      </c>
      <c r="EJ30" s="62">
        <v>2440000000</v>
      </c>
      <c r="EK30" s="63">
        <v>1723163.8418079095</v>
      </c>
      <c r="EL30" s="62">
        <v>0</v>
      </c>
      <c r="EM30" s="63">
        <v>0</v>
      </c>
      <c r="EN30" s="62">
        <v>0</v>
      </c>
      <c r="EO30" s="63">
        <v>0</v>
      </c>
      <c r="EP30" s="62">
        <v>0</v>
      </c>
      <c r="EQ30" s="63">
        <v>0</v>
      </c>
      <c r="ER30" s="62">
        <v>5749941677</v>
      </c>
      <c r="ES30" s="63">
        <v>5231976.0482256599</v>
      </c>
      <c r="ET30" s="62">
        <v>17688000000</v>
      </c>
      <c r="EU30" s="63">
        <v>5500000</v>
      </c>
      <c r="EV30" s="62">
        <v>0</v>
      </c>
      <c r="EW30" s="63">
        <v>0</v>
      </c>
      <c r="EX30" s="62">
        <v>0</v>
      </c>
      <c r="EY30" s="63">
        <v>0</v>
      </c>
      <c r="EZ30" s="62">
        <v>0</v>
      </c>
      <c r="FA30" s="63">
        <v>0</v>
      </c>
      <c r="FB30" s="62">
        <v>0</v>
      </c>
      <c r="FC30" s="63">
        <v>0</v>
      </c>
      <c r="FD30" s="62">
        <v>0</v>
      </c>
      <c r="FE30" s="63">
        <v>0</v>
      </c>
      <c r="FF30" s="62">
        <v>0</v>
      </c>
      <c r="FG30" s="63">
        <v>0</v>
      </c>
      <c r="FH30" s="62">
        <v>0</v>
      </c>
      <c r="FI30" s="63">
        <v>0</v>
      </c>
      <c r="FJ30" s="62">
        <v>0</v>
      </c>
      <c r="FK30" s="63">
        <v>0</v>
      </c>
      <c r="FL30" s="62">
        <v>0</v>
      </c>
      <c r="FM30" s="63">
        <v>0</v>
      </c>
      <c r="FN30" s="62">
        <v>1980000000</v>
      </c>
      <c r="FO30" s="63">
        <v>38076923.07692308</v>
      </c>
      <c r="FP30" s="39">
        <v>0</v>
      </c>
      <c r="FQ30" s="51">
        <v>0</v>
      </c>
      <c r="FR30" s="62">
        <v>0</v>
      </c>
      <c r="FS30" s="63">
        <v>0</v>
      </c>
      <c r="FT30" s="62">
        <v>0</v>
      </c>
      <c r="FU30" s="63">
        <v>0</v>
      </c>
      <c r="FV30" s="62">
        <v>0</v>
      </c>
      <c r="FW30" s="63">
        <v>0</v>
      </c>
      <c r="FX30" s="62">
        <v>0</v>
      </c>
      <c r="FY30" s="63">
        <v>0</v>
      </c>
      <c r="FZ30" s="62">
        <v>4250000000</v>
      </c>
      <c r="GA30" s="63">
        <v>3867151.956323931</v>
      </c>
      <c r="GB30" s="62">
        <v>17406000000</v>
      </c>
      <c r="GC30" s="63">
        <v>5412313.4328358211</v>
      </c>
      <c r="GD30" s="62">
        <v>0</v>
      </c>
      <c r="GE30" s="63">
        <v>0</v>
      </c>
      <c r="GF30" s="62">
        <v>0</v>
      </c>
      <c r="GG30" s="63">
        <v>0</v>
      </c>
      <c r="GH30" s="62">
        <v>0</v>
      </c>
      <c r="GI30" s="63">
        <v>0</v>
      </c>
      <c r="GJ30" s="62">
        <v>0</v>
      </c>
      <c r="GK30" s="63">
        <v>0</v>
      </c>
      <c r="GL30" s="62">
        <v>0</v>
      </c>
      <c r="GM30" s="63">
        <v>0</v>
      </c>
      <c r="GN30" s="62">
        <v>0</v>
      </c>
      <c r="GO30" s="63">
        <v>0</v>
      </c>
      <c r="GP30" s="62">
        <v>0</v>
      </c>
      <c r="GQ30" s="63">
        <v>0</v>
      </c>
      <c r="GR30" s="62">
        <v>0</v>
      </c>
      <c r="GS30" s="63">
        <v>0</v>
      </c>
      <c r="GT30" s="62">
        <v>0</v>
      </c>
      <c r="GU30" s="63">
        <v>0</v>
      </c>
      <c r="GV30" s="62">
        <v>0</v>
      </c>
      <c r="GW30" s="63">
        <v>0</v>
      </c>
      <c r="GX30" s="62">
        <v>0</v>
      </c>
      <c r="GY30" s="63">
        <v>0</v>
      </c>
      <c r="GZ30" s="62">
        <v>0</v>
      </c>
      <c r="HA30" s="63">
        <v>0</v>
      </c>
    </row>
    <row r="31" spans="1:209" x14ac:dyDescent="0.3">
      <c r="A31" s="68" t="s">
        <v>455</v>
      </c>
      <c r="B31" s="66"/>
      <c r="C31" s="67" t="s">
        <v>235</v>
      </c>
      <c r="D31" s="62">
        <v>800000000</v>
      </c>
      <c r="E31" s="63">
        <v>1315789.4736842106</v>
      </c>
      <c r="F31" s="22">
        <v>3403611130</v>
      </c>
      <c r="G31" s="64">
        <v>2714203.4529505582</v>
      </c>
      <c r="H31" s="65">
        <v>0</v>
      </c>
      <c r="I31" s="64">
        <v>0</v>
      </c>
      <c r="J31" s="62">
        <v>0</v>
      </c>
      <c r="K31" s="63">
        <v>0</v>
      </c>
      <c r="L31" s="62">
        <v>325000000</v>
      </c>
      <c r="M31" s="63">
        <v>1294820.7171314741</v>
      </c>
      <c r="N31" s="62">
        <v>0</v>
      </c>
      <c r="O31" s="63">
        <v>0</v>
      </c>
      <c r="P31" s="62">
        <v>260965288</v>
      </c>
      <c r="Q31" s="63">
        <v>290931.20178372355</v>
      </c>
      <c r="R31" s="62">
        <v>0</v>
      </c>
      <c r="S31" s="63">
        <v>0</v>
      </c>
      <c r="T31" s="62">
        <v>213574026.35206041</v>
      </c>
      <c r="U31" s="63">
        <v>143434.53750977866</v>
      </c>
      <c r="V31" s="62">
        <v>0</v>
      </c>
      <c r="W31" s="63">
        <v>0</v>
      </c>
      <c r="X31" s="62">
        <v>1064293770.3058913</v>
      </c>
      <c r="Y31" s="63">
        <v>1806950.3740337712</v>
      </c>
      <c r="Z31" s="62">
        <v>0</v>
      </c>
      <c r="AA31" s="63">
        <v>0</v>
      </c>
      <c r="AB31" s="62">
        <v>0</v>
      </c>
      <c r="AC31" s="63">
        <v>0</v>
      </c>
      <c r="AD31" s="62">
        <v>0</v>
      </c>
      <c r="AE31" s="63">
        <v>0</v>
      </c>
      <c r="AF31" s="62">
        <v>0</v>
      </c>
      <c r="AG31" s="63">
        <v>0</v>
      </c>
      <c r="AH31" s="62">
        <v>2237560062.7558155</v>
      </c>
      <c r="AI31" s="63">
        <v>2228645.4808324855</v>
      </c>
      <c r="AJ31" s="62">
        <v>0</v>
      </c>
      <c r="AK31" s="63">
        <v>0</v>
      </c>
      <c r="AL31" s="62">
        <v>506000000</v>
      </c>
      <c r="AM31" s="63">
        <v>1763066.2020905924</v>
      </c>
      <c r="AN31" s="62">
        <v>521145538.06779861</v>
      </c>
      <c r="AO31" s="63">
        <v>1510566.7770081118</v>
      </c>
      <c r="AP31" s="62">
        <v>0</v>
      </c>
      <c r="AQ31" s="63">
        <v>0</v>
      </c>
      <c r="AR31" s="62">
        <v>0</v>
      </c>
      <c r="AS31" s="63">
        <v>0</v>
      </c>
      <c r="AT31" s="62">
        <v>150263522</v>
      </c>
      <c r="AU31" s="63">
        <v>165853.77704194261</v>
      </c>
      <c r="AV31" s="62">
        <v>3236363977.3432226</v>
      </c>
      <c r="AW31" s="63">
        <v>3517786.9318948071</v>
      </c>
      <c r="AX31" s="62">
        <v>0</v>
      </c>
      <c r="AY31" s="63">
        <v>0</v>
      </c>
      <c r="AZ31" s="62">
        <v>176013352</v>
      </c>
      <c r="BA31" s="63">
        <v>182776.06645898236</v>
      </c>
      <c r="BB31" s="62">
        <v>0</v>
      </c>
      <c r="BC31" s="63">
        <v>0</v>
      </c>
      <c r="BD31" s="62">
        <v>1345761716</v>
      </c>
      <c r="BE31" s="63">
        <v>1343075.5648702595</v>
      </c>
      <c r="BF31" s="62">
        <v>0</v>
      </c>
      <c r="BG31" s="63">
        <v>0</v>
      </c>
      <c r="BH31" s="62">
        <v>1245810000</v>
      </c>
      <c r="BI31" s="63">
        <v>1409287.3303167422</v>
      </c>
      <c r="BJ31" s="62">
        <v>0</v>
      </c>
      <c r="BK31" s="63">
        <v>0</v>
      </c>
      <c r="BL31" s="62">
        <v>1360000000</v>
      </c>
      <c r="BM31" s="63">
        <v>2214983.713355049</v>
      </c>
      <c r="BN31" s="62">
        <v>0</v>
      </c>
      <c r="BO31" s="63">
        <v>0</v>
      </c>
      <c r="BP31" s="62">
        <v>178277075</v>
      </c>
      <c r="BQ31" s="63">
        <v>175297.02556538841</v>
      </c>
      <c r="BR31" s="62">
        <v>0</v>
      </c>
      <c r="BS31" s="63">
        <v>0</v>
      </c>
      <c r="BT31" s="62">
        <v>16636000000</v>
      </c>
      <c r="BU31" s="63">
        <v>5560160.4278074866</v>
      </c>
      <c r="BV31" s="62">
        <v>0</v>
      </c>
      <c r="BW31" s="63">
        <v>0</v>
      </c>
      <c r="BX31" s="62">
        <v>405846844</v>
      </c>
      <c r="BY31" s="63">
        <v>1313420.207119741</v>
      </c>
      <c r="BZ31" s="62">
        <v>2704300818</v>
      </c>
      <c r="CA31" s="63">
        <v>3346906.9529702971</v>
      </c>
      <c r="CB31" s="62">
        <v>0</v>
      </c>
      <c r="CC31" s="63">
        <v>0</v>
      </c>
      <c r="CD31" s="62">
        <v>0</v>
      </c>
      <c r="CE31" s="63">
        <v>0</v>
      </c>
      <c r="CF31" s="62">
        <v>1739600400</v>
      </c>
      <c r="CG31" s="63">
        <v>1750101.0060362173</v>
      </c>
      <c r="CH31" s="62">
        <v>0</v>
      </c>
      <c r="CI31" s="63">
        <v>0</v>
      </c>
      <c r="CJ31" s="62">
        <v>957600000</v>
      </c>
      <c r="CK31" s="63">
        <v>288260.08428657433</v>
      </c>
      <c r="CL31" s="62">
        <v>0</v>
      </c>
      <c r="CM31" s="63">
        <v>0</v>
      </c>
      <c r="CN31" s="62">
        <v>0</v>
      </c>
      <c r="CO31" s="63">
        <v>0</v>
      </c>
      <c r="CP31" s="62">
        <v>0</v>
      </c>
      <c r="CQ31" s="63">
        <v>0</v>
      </c>
      <c r="CR31" s="62">
        <v>1368000000</v>
      </c>
      <c r="CS31" s="63">
        <v>2873949.5798319327</v>
      </c>
      <c r="CT31" s="62">
        <v>0</v>
      </c>
      <c r="CU31" s="63">
        <v>0</v>
      </c>
      <c r="CV31" s="62">
        <v>1656052400</v>
      </c>
      <c r="CW31" s="63">
        <v>435574.01367701212</v>
      </c>
      <c r="CX31" s="62">
        <v>0</v>
      </c>
      <c r="CY31" s="63">
        <v>0</v>
      </c>
      <c r="CZ31" s="62">
        <v>540000000</v>
      </c>
      <c r="DA31" s="63">
        <v>2337662.3376623378</v>
      </c>
      <c r="DB31" s="62">
        <v>116701905</v>
      </c>
      <c r="DC31" s="63">
        <v>190689.38725490196</v>
      </c>
      <c r="DD31" s="62">
        <v>0</v>
      </c>
      <c r="DE31" s="63">
        <v>0</v>
      </c>
      <c r="DF31" s="62">
        <v>140940235</v>
      </c>
      <c r="DG31" s="63">
        <v>201055.97004279602</v>
      </c>
      <c r="DH31" s="62">
        <v>868022484</v>
      </c>
      <c r="DI31" s="63">
        <v>2845975.357377049</v>
      </c>
      <c r="DJ31" s="62">
        <v>10880000000</v>
      </c>
      <c r="DK31" s="63">
        <v>11736785.32901834</v>
      </c>
      <c r="DL31" s="62">
        <v>2658067696</v>
      </c>
      <c r="DM31" s="63">
        <v>1507695.8003403291</v>
      </c>
      <c r="DN31" s="62">
        <v>1085760000</v>
      </c>
      <c r="DO31" s="63">
        <v>1180173.9130434783</v>
      </c>
      <c r="DP31" s="62">
        <v>0</v>
      </c>
      <c r="DQ31" s="63">
        <v>0</v>
      </c>
      <c r="DR31" s="62">
        <v>627514550</v>
      </c>
      <c r="DS31" s="63">
        <v>196220.9349593496</v>
      </c>
      <c r="DT31" s="62">
        <v>0</v>
      </c>
      <c r="DU31" s="63">
        <v>0</v>
      </c>
      <c r="DV31" s="62">
        <v>2412731512</v>
      </c>
      <c r="DW31" s="63">
        <v>1703906.4350282487</v>
      </c>
      <c r="DX31" s="62">
        <v>0</v>
      </c>
      <c r="DY31" s="63">
        <v>0</v>
      </c>
      <c r="DZ31" s="62">
        <v>1496000000</v>
      </c>
      <c r="EA31" s="63">
        <v>1512639.0293225481</v>
      </c>
      <c r="EB31" s="62">
        <v>0</v>
      </c>
      <c r="EC31" s="63">
        <v>0</v>
      </c>
      <c r="ED31" s="62">
        <v>0</v>
      </c>
      <c r="EE31" s="63">
        <v>0</v>
      </c>
      <c r="EF31" s="62">
        <v>3932947654</v>
      </c>
      <c r="EG31" s="63" t="e">
        <f t="shared" si="0"/>
        <v>#DIV/0!</v>
      </c>
      <c r="EH31" s="62">
        <v>842317177</v>
      </c>
      <c r="EI31" s="63">
        <v>2761695.6622950821</v>
      </c>
      <c r="EJ31" s="62">
        <v>4064000000</v>
      </c>
      <c r="EK31" s="63">
        <v>2870056.4971751412</v>
      </c>
      <c r="EL31" s="62">
        <v>1174462441</v>
      </c>
      <c r="EM31" s="63">
        <v>1393193.8801897983</v>
      </c>
      <c r="EN31" s="62">
        <v>41669400000</v>
      </c>
      <c r="EO31" s="63">
        <v>5946824.6039674608</v>
      </c>
      <c r="EP31" s="62">
        <v>198253911</v>
      </c>
      <c r="EQ31" s="63">
        <v>196291.00099009901</v>
      </c>
      <c r="ER31" s="62">
        <v>1260000000</v>
      </c>
      <c r="ES31" s="63">
        <v>1146496.8152866242</v>
      </c>
      <c r="ET31" s="62">
        <v>420000000</v>
      </c>
      <c r="EU31" s="63">
        <v>130597.01492537314</v>
      </c>
      <c r="EV31" s="62">
        <v>1275000000</v>
      </c>
      <c r="EW31" s="63">
        <v>903614.45783132536</v>
      </c>
      <c r="EX31" s="62">
        <v>0</v>
      </c>
      <c r="EY31" s="63">
        <v>0</v>
      </c>
      <c r="EZ31" s="62">
        <v>596004000</v>
      </c>
      <c r="FA31" s="63">
        <v>532146.42857142852</v>
      </c>
      <c r="FB31" s="62">
        <v>448199999</v>
      </c>
      <c r="FC31" s="63">
        <v>158654.86690265487</v>
      </c>
      <c r="FD31" s="62">
        <v>0</v>
      </c>
      <c r="FE31" s="63">
        <v>0</v>
      </c>
      <c r="FF31" s="62">
        <v>0</v>
      </c>
      <c r="FG31" s="63">
        <v>0</v>
      </c>
      <c r="FH31" s="62">
        <v>532000000</v>
      </c>
      <c r="FI31" s="63">
        <v>915662.65060240962</v>
      </c>
      <c r="FJ31" s="62">
        <v>0</v>
      </c>
      <c r="FK31" s="63">
        <v>0</v>
      </c>
      <c r="FL31" s="62">
        <v>0</v>
      </c>
      <c r="FM31" s="63">
        <v>0</v>
      </c>
      <c r="FN31" s="62">
        <v>0</v>
      </c>
      <c r="FO31" s="63">
        <v>0</v>
      </c>
      <c r="FP31" s="39">
        <v>3245083783</v>
      </c>
      <c r="FQ31" s="51">
        <v>1320213.0931651748</v>
      </c>
      <c r="FR31" s="62">
        <v>0</v>
      </c>
      <c r="FS31" s="63">
        <v>0</v>
      </c>
      <c r="FT31" s="62">
        <v>1496000000</v>
      </c>
      <c r="FU31" s="63">
        <v>1512639.0293225481</v>
      </c>
      <c r="FV31" s="62">
        <v>4554885813</v>
      </c>
      <c r="FW31" s="63">
        <v>1878303.4280412372</v>
      </c>
      <c r="FX31" s="62">
        <v>1222160000</v>
      </c>
      <c r="FY31" s="63">
        <v>595014.60564751702</v>
      </c>
      <c r="FZ31" s="62">
        <v>1260000000</v>
      </c>
      <c r="GA31" s="63">
        <v>1146496.8152866242</v>
      </c>
      <c r="GB31" s="62">
        <v>420000000</v>
      </c>
      <c r="GC31" s="63">
        <v>130597.01492537314</v>
      </c>
      <c r="GD31" s="62">
        <v>966918357</v>
      </c>
      <c r="GE31" s="63">
        <v>370750.90375766874</v>
      </c>
      <c r="GF31" s="62">
        <v>1400000000</v>
      </c>
      <c r="GG31" s="63">
        <v>700700.70070070075</v>
      </c>
      <c r="GH31" s="62">
        <v>0</v>
      </c>
      <c r="GI31" s="63">
        <v>0</v>
      </c>
      <c r="GJ31" s="62">
        <v>0</v>
      </c>
      <c r="GK31" s="63">
        <v>0</v>
      </c>
      <c r="GL31" s="62">
        <v>5000000000</v>
      </c>
      <c r="GM31" s="63">
        <v>1750087.5043752186</v>
      </c>
      <c r="GN31" s="62">
        <v>2198697341</v>
      </c>
      <c r="GO31" s="63">
        <v>1629872.0096367679</v>
      </c>
      <c r="GP31" s="62">
        <v>360000000</v>
      </c>
      <c r="GQ31" s="63">
        <v>378548.8958990536</v>
      </c>
      <c r="GR31" s="62">
        <v>5200000000</v>
      </c>
      <c r="GS31" s="63">
        <v>2555282.5552825551</v>
      </c>
      <c r="GT31" s="62">
        <v>1118040000</v>
      </c>
      <c r="GU31" s="63">
        <v>1730712.0743034056</v>
      </c>
      <c r="GV31" s="62">
        <v>0</v>
      </c>
      <c r="GW31" s="63">
        <v>0</v>
      </c>
      <c r="GX31" s="62">
        <v>225836335</v>
      </c>
      <c r="GY31" s="63">
        <v>321246.56472261733</v>
      </c>
      <c r="GZ31" s="62">
        <v>0</v>
      </c>
      <c r="HA31" s="63">
        <v>0</v>
      </c>
    </row>
    <row r="32" spans="1:209" x14ac:dyDescent="0.3">
      <c r="A32" s="68" t="s">
        <v>455</v>
      </c>
      <c r="B32" s="66"/>
      <c r="C32" s="67" t="s">
        <v>236</v>
      </c>
      <c r="D32" s="69">
        <v>0</v>
      </c>
      <c r="E32" s="63">
        <v>0</v>
      </c>
      <c r="F32" s="22">
        <v>0</v>
      </c>
      <c r="G32" s="64">
        <v>0</v>
      </c>
      <c r="H32" s="70">
        <v>0</v>
      </c>
      <c r="I32" s="64">
        <v>0</v>
      </c>
      <c r="J32" s="69">
        <v>0</v>
      </c>
      <c r="K32" s="63">
        <v>0</v>
      </c>
      <c r="L32" s="69">
        <v>0</v>
      </c>
      <c r="M32" s="63">
        <v>0</v>
      </c>
      <c r="N32" s="69">
        <v>0</v>
      </c>
      <c r="O32" s="63">
        <v>0</v>
      </c>
      <c r="P32" s="69">
        <v>0</v>
      </c>
      <c r="Q32" s="63">
        <v>0</v>
      </c>
      <c r="R32" s="69">
        <v>278500000</v>
      </c>
      <c r="S32" s="63">
        <v>151112.31687466087</v>
      </c>
      <c r="T32" s="69">
        <v>0</v>
      </c>
      <c r="U32" s="63">
        <v>0</v>
      </c>
      <c r="V32" s="69">
        <v>0</v>
      </c>
      <c r="W32" s="63">
        <v>0</v>
      </c>
      <c r="X32" s="69">
        <v>0</v>
      </c>
      <c r="Y32" s="63">
        <v>0</v>
      </c>
      <c r="Z32" s="69">
        <v>0</v>
      </c>
      <c r="AA32" s="63">
        <v>0</v>
      </c>
      <c r="AB32" s="69">
        <v>55000000</v>
      </c>
      <c r="AC32" s="63">
        <v>15960.53395240859</v>
      </c>
      <c r="AD32" s="69">
        <v>0</v>
      </c>
      <c r="AE32" s="63">
        <v>0</v>
      </c>
      <c r="AF32" s="69">
        <v>0</v>
      </c>
      <c r="AG32" s="63">
        <v>0</v>
      </c>
      <c r="AH32" s="69">
        <v>0</v>
      </c>
      <c r="AI32" s="63">
        <v>0</v>
      </c>
      <c r="AJ32" s="69">
        <v>0</v>
      </c>
      <c r="AK32" s="63">
        <v>0</v>
      </c>
      <c r="AL32" s="69">
        <v>0</v>
      </c>
      <c r="AM32" s="63">
        <v>0</v>
      </c>
      <c r="AN32" s="69">
        <v>0</v>
      </c>
      <c r="AO32" s="63">
        <v>0</v>
      </c>
      <c r="AP32" s="69">
        <v>0</v>
      </c>
      <c r="AQ32" s="63">
        <v>0</v>
      </c>
      <c r="AR32" s="69">
        <v>0</v>
      </c>
      <c r="AS32" s="63">
        <v>0</v>
      </c>
      <c r="AT32" s="69">
        <v>0</v>
      </c>
      <c r="AU32" s="63">
        <v>0</v>
      </c>
      <c r="AV32" s="69">
        <v>0</v>
      </c>
      <c r="AW32" s="63">
        <v>0</v>
      </c>
      <c r="AX32" s="69">
        <v>0</v>
      </c>
      <c r="AY32" s="63">
        <v>0</v>
      </c>
      <c r="AZ32" s="69">
        <v>0</v>
      </c>
      <c r="BA32" s="63">
        <v>0</v>
      </c>
      <c r="BB32" s="69">
        <v>0</v>
      </c>
      <c r="BC32" s="63">
        <v>0</v>
      </c>
      <c r="BD32" s="69">
        <v>0</v>
      </c>
      <c r="BE32" s="63">
        <v>0</v>
      </c>
      <c r="BF32" s="69">
        <v>0</v>
      </c>
      <c r="BG32" s="63">
        <v>0</v>
      </c>
      <c r="BH32" s="69">
        <v>0</v>
      </c>
      <c r="BI32" s="63">
        <v>0</v>
      </c>
      <c r="BJ32" s="69">
        <v>0</v>
      </c>
      <c r="BK32" s="63">
        <v>0</v>
      </c>
      <c r="BL32" s="69">
        <v>0</v>
      </c>
      <c r="BM32" s="63">
        <v>0</v>
      </c>
      <c r="BN32" s="69">
        <v>0</v>
      </c>
      <c r="BO32" s="63">
        <v>0</v>
      </c>
      <c r="BP32" s="69">
        <v>0</v>
      </c>
      <c r="BQ32" s="63">
        <v>0</v>
      </c>
      <c r="BR32" s="69">
        <v>0</v>
      </c>
      <c r="BS32" s="63">
        <v>0</v>
      </c>
      <c r="BT32" s="69">
        <v>0</v>
      </c>
      <c r="BU32" s="63">
        <v>0</v>
      </c>
      <c r="BV32" s="69">
        <v>0</v>
      </c>
      <c r="BW32" s="63">
        <v>0</v>
      </c>
      <c r="BX32" s="69">
        <v>0</v>
      </c>
      <c r="BY32" s="63">
        <v>0</v>
      </c>
      <c r="BZ32" s="69">
        <v>0</v>
      </c>
      <c r="CA32" s="63">
        <v>0</v>
      </c>
      <c r="CB32" s="69">
        <v>0</v>
      </c>
      <c r="CC32" s="63">
        <v>0</v>
      </c>
      <c r="CD32" s="69">
        <v>0</v>
      </c>
      <c r="CE32" s="63">
        <v>0</v>
      </c>
      <c r="CF32" s="69">
        <v>0</v>
      </c>
      <c r="CG32" s="63">
        <v>0</v>
      </c>
      <c r="CH32" s="69">
        <v>0</v>
      </c>
      <c r="CI32" s="63">
        <v>0</v>
      </c>
      <c r="CJ32" s="69">
        <v>0</v>
      </c>
      <c r="CK32" s="63">
        <v>0</v>
      </c>
      <c r="CL32" s="69">
        <v>0</v>
      </c>
      <c r="CM32" s="63">
        <v>0</v>
      </c>
      <c r="CN32" s="69">
        <v>0</v>
      </c>
      <c r="CO32" s="63">
        <v>0</v>
      </c>
      <c r="CP32" s="69">
        <v>0</v>
      </c>
      <c r="CQ32" s="63">
        <v>0</v>
      </c>
      <c r="CR32" s="69">
        <v>792000000</v>
      </c>
      <c r="CS32" s="63">
        <v>1663865.5462184874</v>
      </c>
      <c r="CT32" s="69">
        <v>0</v>
      </c>
      <c r="CU32" s="63">
        <v>0</v>
      </c>
      <c r="CV32" s="69">
        <v>0</v>
      </c>
      <c r="CW32" s="63">
        <v>0</v>
      </c>
      <c r="CX32" s="69">
        <v>0</v>
      </c>
      <c r="CY32" s="63">
        <v>0</v>
      </c>
      <c r="CZ32" s="69">
        <v>0</v>
      </c>
      <c r="DA32" s="63">
        <v>0</v>
      </c>
      <c r="DB32" s="69">
        <v>0</v>
      </c>
      <c r="DC32" s="63">
        <v>0</v>
      </c>
      <c r="DD32" s="69">
        <v>0</v>
      </c>
      <c r="DE32" s="63">
        <v>0</v>
      </c>
      <c r="DF32" s="69">
        <v>0</v>
      </c>
      <c r="DG32" s="63">
        <v>0</v>
      </c>
      <c r="DH32" s="69"/>
      <c r="DI32" s="63">
        <v>0</v>
      </c>
      <c r="DJ32" s="69">
        <v>0</v>
      </c>
      <c r="DK32" s="63">
        <v>0</v>
      </c>
      <c r="DL32" s="69">
        <v>0</v>
      </c>
      <c r="DM32" s="63">
        <v>0</v>
      </c>
      <c r="DN32" s="69">
        <v>0</v>
      </c>
      <c r="DO32" s="63">
        <v>0</v>
      </c>
      <c r="DP32" s="69"/>
      <c r="DQ32" s="63">
        <v>0</v>
      </c>
      <c r="DR32" s="69">
        <v>5414465340</v>
      </c>
      <c r="DS32" s="63">
        <v>1693078.5928705442</v>
      </c>
      <c r="DT32" s="69">
        <v>0</v>
      </c>
      <c r="DU32" s="63">
        <v>0</v>
      </c>
      <c r="DV32" s="69">
        <v>0</v>
      </c>
      <c r="DW32" s="63">
        <v>0</v>
      </c>
      <c r="DX32" s="69">
        <v>0</v>
      </c>
      <c r="DY32" s="63">
        <v>0</v>
      </c>
      <c r="DZ32" s="69"/>
      <c r="EA32" s="63">
        <v>0</v>
      </c>
      <c r="EB32" s="69">
        <v>0</v>
      </c>
      <c r="EC32" s="63">
        <v>0</v>
      </c>
      <c r="ED32" s="69">
        <v>0</v>
      </c>
      <c r="EE32" s="63">
        <v>0</v>
      </c>
      <c r="EF32" s="69"/>
      <c r="EG32" s="63" t="e">
        <f t="shared" si="0"/>
        <v>#DIV/0!</v>
      </c>
      <c r="EH32" s="69"/>
      <c r="EI32" s="63">
        <v>0</v>
      </c>
      <c r="EJ32" s="69">
        <v>0</v>
      </c>
      <c r="EK32" s="63">
        <v>0</v>
      </c>
      <c r="EL32" s="69">
        <v>0</v>
      </c>
      <c r="EM32" s="63">
        <v>0</v>
      </c>
      <c r="EN32" s="69">
        <v>0</v>
      </c>
      <c r="EO32" s="63">
        <v>0</v>
      </c>
      <c r="EP32" s="69">
        <v>0</v>
      </c>
      <c r="EQ32" s="63">
        <v>0</v>
      </c>
      <c r="ER32" s="69">
        <v>0</v>
      </c>
      <c r="ES32" s="63">
        <v>0</v>
      </c>
      <c r="ET32" s="69">
        <v>0</v>
      </c>
      <c r="EU32" s="63">
        <v>0</v>
      </c>
      <c r="EV32" s="69">
        <v>0</v>
      </c>
      <c r="EW32" s="63">
        <v>0</v>
      </c>
      <c r="EX32" s="69">
        <v>0</v>
      </c>
      <c r="EY32" s="63">
        <v>0</v>
      </c>
      <c r="EZ32" s="69">
        <v>0</v>
      </c>
      <c r="FA32" s="63">
        <v>0</v>
      </c>
      <c r="FB32" s="69">
        <v>0</v>
      </c>
      <c r="FC32" s="63">
        <v>0</v>
      </c>
      <c r="FD32" s="69">
        <v>0</v>
      </c>
      <c r="FE32" s="63">
        <v>0</v>
      </c>
      <c r="FF32" s="69">
        <v>0</v>
      </c>
      <c r="FG32" s="63">
        <v>0</v>
      </c>
      <c r="FH32" s="69">
        <v>0</v>
      </c>
      <c r="FI32" s="63">
        <v>0</v>
      </c>
      <c r="FJ32" s="69">
        <v>0</v>
      </c>
      <c r="FK32" s="63">
        <v>0</v>
      </c>
      <c r="FL32" s="69">
        <v>0</v>
      </c>
      <c r="FM32" s="63">
        <v>0</v>
      </c>
      <c r="FN32" s="69">
        <v>3985000000</v>
      </c>
      <c r="FO32" s="63">
        <v>76634615.384615391</v>
      </c>
      <c r="FP32" s="39">
        <v>0</v>
      </c>
      <c r="FQ32" s="51">
        <v>0</v>
      </c>
      <c r="FR32" s="69">
        <v>0</v>
      </c>
      <c r="FS32" s="63">
        <v>0</v>
      </c>
      <c r="FT32" s="69">
        <v>0</v>
      </c>
      <c r="FU32" s="63">
        <v>0</v>
      </c>
      <c r="FV32" s="69">
        <v>0</v>
      </c>
      <c r="FW32" s="63">
        <v>0</v>
      </c>
      <c r="FX32" s="69">
        <v>0</v>
      </c>
      <c r="FY32" s="63">
        <v>0</v>
      </c>
      <c r="FZ32" s="69">
        <v>0</v>
      </c>
      <c r="GA32" s="63">
        <v>0</v>
      </c>
      <c r="GB32" s="69">
        <v>0</v>
      </c>
      <c r="GC32" s="63">
        <v>0</v>
      </c>
      <c r="GD32" s="69">
        <v>0</v>
      </c>
      <c r="GE32" s="63">
        <v>0</v>
      </c>
      <c r="GF32" s="69">
        <v>0</v>
      </c>
      <c r="GG32" s="63">
        <v>0</v>
      </c>
      <c r="GH32" s="69">
        <v>0</v>
      </c>
      <c r="GI32" s="63">
        <v>0</v>
      </c>
      <c r="GJ32" s="69">
        <v>0</v>
      </c>
      <c r="GK32" s="63">
        <v>0</v>
      </c>
      <c r="GL32" s="69">
        <v>0</v>
      </c>
      <c r="GM32" s="63">
        <v>0</v>
      </c>
      <c r="GN32" s="69">
        <v>0</v>
      </c>
      <c r="GO32" s="63">
        <v>0</v>
      </c>
      <c r="GP32" s="69">
        <v>0</v>
      </c>
      <c r="GQ32" s="63">
        <v>0</v>
      </c>
      <c r="GR32" s="69">
        <v>0</v>
      </c>
      <c r="GS32" s="63">
        <v>0</v>
      </c>
      <c r="GT32" s="69"/>
      <c r="GU32" s="63">
        <v>0</v>
      </c>
      <c r="GV32" s="69">
        <v>0</v>
      </c>
      <c r="GW32" s="63">
        <v>0</v>
      </c>
      <c r="GX32" s="69">
        <v>0</v>
      </c>
      <c r="GY32" s="63">
        <v>0</v>
      </c>
      <c r="GZ32" s="69">
        <v>0</v>
      </c>
      <c r="HA32" s="63">
        <v>0</v>
      </c>
    </row>
    <row r="33" spans="1:209" x14ac:dyDescent="0.3">
      <c r="A33" s="68" t="s">
        <v>455</v>
      </c>
      <c r="B33" s="66"/>
      <c r="C33" s="67" t="s">
        <v>237</v>
      </c>
      <c r="D33" s="62">
        <v>0</v>
      </c>
      <c r="E33" s="63">
        <v>0</v>
      </c>
      <c r="F33" s="22"/>
      <c r="G33" s="64"/>
      <c r="H33" s="65">
        <v>0</v>
      </c>
      <c r="I33" s="64">
        <v>0</v>
      </c>
      <c r="J33" s="62">
        <v>0</v>
      </c>
      <c r="K33" s="63">
        <v>0</v>
      </c>
      <c r="L33" s="62">
        <v>0</v>
      </c>
      <c r="M33" s="63">
        <v>0</v>
      </c>
      <c r="N33" s="62"/>
      <c r="O33" s="63"/>
      <c r="P33" s="62">
        <v>0</v>
      </c>
      <c r="Q33" s="63">
        <v>0</v>
      </c>
      <c r="R33" s="62">
        <v>0</v>
      </c>
      <c r="S33" s="63">
        <v>0</v>
      </c>
      <c r="T33" s="62"/>
      <c r="U33" s="63"/>
      <c r="V33" s="62">
        <v>0</v>
      </c>
      <c r="W33" s="63">
        <v>0</v>
      </c>
      <c r="X33" s="62"/>
      <c r="Y33" s="63"/>
      <c r="Z33" s="62"/>
      <c r="AA33" s="63"/>
      <c r="AB33" s="62"/>
      <c r="AC33" s="63"/>
      <c r="AD33" s="62"/>
      <c r="AE33" s="63"/>
      <c r="AF33" s="62">
        <v>0</v>
      </c>
      <c r="AG33" s="63">
        <v>0</v>
      </c>
      <c r="AH33" s="62">
        <v>0</v>
      </c>
      <c r="AI33" s="63">
        <v>0</v>
      </c>
      <c r="AJ33" s="62"/>
      <c r="AK33" s="63"/>
      <c r="AL33" s="62">
        <v>0</v>
      </c>
      <c r="AM33" s="63">
        <v>0</v>
      </c>
      <c r="AN33" s="62"/>
      <c r="AO33" s="63"/>
      <c r="AP33" s="62"/>
      <c r="AQ33" s="63"/>
      <c r="AR33" s="62"/>
      <c r="AS33" s="63"/>
      <c r="AT33" s="62"/>
      <c r="AU33" s="63"/>
      <c r="AV33" s="62"/>
      <c r="AW33" s="63"/>
      <c r="AX33" s="62">
        <v>0</v>
      </c>
      <c r="AY33" s="63">
        <v>0</v>
      </c>
      <c r="AZ33" s="62"/>
      <c r="BA33" s="63"/>
      <c r="BB33" s="62"/>
      <c r="BC33" s="63"/>
      <c r="BD33" s="62">
        <v>0</v>
      </c>
      <c r="BE33" s="63">
        <v>0</v>
      </c>
      <c r="BF33" s="62">
        <v>0</v>
      </c>
      <c r="BG33" s="63">
        <v>0</v>
      </c>
      <c r="BH33" s="62"/>
      <c r="BI33" s="63"/>
      <c r="BJ33" s="62"/>
      <c r="BK33" s="63"/>
      <c r="BL33" s="62"/>
      <c r="BM33" s="63"/>
      <c r="BN33" s="62"/>
      <c r="BO33" s="63"/>
      <c r="BP33" s="62">
        <v>0</v>
      </c>
      <c r="BQ33" s="63">
        <v>0</v>
      </c>
      <c r="BR33" s="62">
        <v>0</v>
      </c>
      <c r="BS33" s="63">
        <v>0</v>
      </c>
      <c r="BT33" s="62"/>
      <c r="BU33" s="63"/>
      <c r="BV33" s="62">
        <v>0</v>
      </c>
      <c r="BW33" s="63">
        <v>0</v>
      </c>
      <c r="BX33" s="62">
        <v>0</v>
      </c>
      <c r="BY33" s="63">
        <v>0</v>
      </c>
      <c r="BZ33" s="62"/>
      <c r="CA33" s="63"/>
      <c r="CB33" s="62">
        <v>0</v>
      </c>
      <c r="CC33" s="63">
        <v>0</v>
      </c>
      <c r="CD33" s="62">
        <v>0</v>
      </c>
      <c r="CE33" s="63">
        <v>0</v>
      </c>
      <c r="CF33" s="62">
        <v>0</v>
      </c>
      <c r="CG33" s="63">
        <v>0</v>
      </c>
      <c r="CH33" s="62">
        <v>0</v>
      </c>
      <c r="CI33" s="63">
        <v>0</v>
      </c>
      <c r="CJ33" s="62">
        <v>0</v>
      </c>
      <c r="CK33" s="63">
        <v>0</v>
      </c>
      <c r="CL33" s="62">
        <v>0</v>
      </c>
      <c r="CM33" s="63">
        <v>0</v>
      </c>
      <c r="CN33" s="62">
        <v>0</v>
      </c>
      <c r="CO33" s="63">
        <v>0</v>
      </c>
      <c r="CP33" s="62">
        <v>0</v>
      </c>
      <c r="CQ33" s="63">
        <v>0</v>
      </c>
      <c r="CR33" s="62">
        <v>0</v>
      </c>
      <c r="CS33" s="63">
        <v>0</v>
      </c>
      <c r="CT33" s="62"/>
      <c r="CU33" s="63"/>
      <c r="CV33" s="62">
        <v>0</v>
      </c>
      <c r="CW33" s="63">
        <v>0</v>
      </c>
      <c r="CX33" s="62">
        <v>0</v>
      </c>
      <c r="CY33" s="63">
        <v>0</v>
      </c>
      <c r="CZ33" s="62"/>
      <c r="DA33" s="63"/>
      <c r="DB33" s="62">
        <v>0</v>
      </c>
      <c r="DC33" s="63">
        <v>0</v>
      </c>
      <c r="DD33" s="62">
        <v>0</v>
      </c>
      <c r="DE33" s="63">
        <v>0</v>
      </c>
      <c r="DF33" s="62"/>
      <c r="DG33" s="63"/>
      <c r="DH33" s="62">
        <v>993950000</v>
      </c>
      <c r="DI33" s="63">
        <v>3258852.4590163934</v>
      </c>
      <c r="DJ33" s="62">
        <v>0</v>
      </c>
      <c r="DK33" s="63">
        <v>0</v>
      </c>
      <c r="DL33" s="62"/>
      <c r="DM33" s="63"/>
      <c r="DN33" s="62">
        <v>0</v>
      </c>
      <c r="DO33" s="63">
        <v>0</v>
      </c>
      <c r="DP33" s="62">
        <v>0</v>
      </c>
      <c r="DQ33" s="63"/>
      <c r="DR33" s="62">
        <v>0</v>
      </c>
      <c r="DS33" s="63">
        <v>0</v>
      </c>
      <c r="DT33" s="62">
        <v>0</v>
      </c>
      <c r="DU33" s="63">
        <v>0</v>
      </c>
      <c r="DV33" s="62">
        <v>0</v>
      </c>
      <c r="DW33" s="63">
        <v>0</v>
      </c>
      <c r="DX33" s="62">
        <v>0</v>
      </c>
      <c r="DY33" s="63">
        <v>0</v>
      </c>
      <c r="DZ33" s="62"/>
      <c r="EA33" s="63">
        <v>0</v>
      </c>
      <c r="EB33" s="62">
        <v>0</v>
      </c>
      <c r="EC33" s="63">
        <v>0</v>
      </c>
      <c r="ED33" s="62">
        <v>0</v>
      </c>
      <c r="EE33" s="63">
        <v>0</v>
      </c>
      <c r="EF33" s="62"/>
      <c r="EG33" s="63" t="e">
        <f t="shared" si="0"/>
        <v>#DIV/0!</v>
      </c>
      <c r="EH33" s="62">
        <v>1009200000</v>
      </c>
      <c r="EI33" s="63">
        <v>3308852.4590163934</v>
      </c>
      <c r="EJ33" s="62">
        <v>0</v>
      </c>
      <c r="EK33" s="63">
        <v>0</v>
      </c>
      <c r="EL33" s="62"/>
      <c r="EM33" s="63"/>
      <c r="EN33" s="62">
        <v>0</v>
      </c>
      <c r="EO33" s="63"/>
      <c r="EP33" s="62"/>
      <c r="EQ33" s="63"/>
      <c r="ER33" s="62"/>
      <c r="ES33" s="63"/>
      <c r="ET33" s="62"/>
      <c r="EU33" s="63"/>
      <c r="EV33" s="62">
        <v>0</v>
      </c>
      <c r="EW33" s="63">
        <v>0</v>
      </c>
      <c r="EX33" s="62"/>
      <c r="EY33" s="63"/>
      <c r="EZ33" s="62">
        <v>0</v>
      </c>
      <c r="FA33" s="63">
        <v>0</v>
      </c>
      <c r="FB33" s="62">
        <v>0</v>
      </c>
      <c r="FC33" s="63">
        <v>0</v>
      </c>
      <c r="FD33" s="62"/>
      <c r="FE33" s="63"/>
      <c r="FF33" s="62">
        <v>0</v>
      </c>
      <c r="FG33" s="63">
        <v>0</v>
      </c>
      <c r="FH33" s="62"/>
      <c r="FI33" s="63"/>
      <c r="FJ33" s="62"/>
      <c r="FK33" s="63"/>
      <c r="FL33" s="62">
        <v>0</v>
      </c>
      <c r="FM33" s="63"/>
      <c r="FN33" s="62">
        <v>0</v>
      </c>
      <c r="FO33" s="63">
        <v>0</v>
      </c>
      <c r="FP33" s="39">
        <v>0</v>
      </c>
      <c r="FQ33" s="51">
        <v>0</v>
      </c>
      <c r="FR33" s="62">
        <v>0</v>
      </c>
      <c r="FS33" s="63">
        <v>0</v>
      </c>
      <c r="FT33" s="62"/>
      <c r="FU33" s="63"/>
      <c r="FV33" s="62">
        <v>0</v>
      </c>
      <c r="FW33" s="63">
        <v>0</v>
      </c>
      <c r="FX33" s="62">
        <v>0</v>
      </c>
      <c r="FY33" s="63">
        <v>0</v>
      </c>
      <c r="FZ33" s="62"/>
      <c r="GA33" s="63"/>
      <c r="GB33" s="62"/>
      <c r="GC33" s="63"/>
      <c r="GD33" s="62">
        <v>0</v>
      </c>
      <c r="GE33" s="63">
        <v>0</v>
      </c>
      <c r="GF33" s="62">
        <v>0</v>
      </c>
      <c r="GG33" s="63">
        <v>0</v>
      </c>
      <c r="GH33" s="62"/>
      <c r="GI33" s="63"/>
      <c r="GJ33" s="62">
        <v>0</v>
      </c>
      <c r="GK33" s="63">
        <v>0</v>
      </c>
      <c r="GL33" s="62">
        <v>0</v>
      </c>
      <c r="GM33" s="63">
        <v>0</v>
      </c>
      <c r="GN33" s="62">
        <v>0</v>
      </c>
      <c r="GO33" s="63">
        <v>0</v>
      </c>
      <c r="GP33" s="62"/>
      <c r="GQ33" s="63"/>
      <c r="GR33" s="62"/>
      <c r="GS33" s="63"/>
      <c r="GT33" s="62"/>
      <c r="GU33" s="63">
        <v>0</v>
      </c>
      <c r="GV33" s="62">
        <v>0</v>
      </c>
      <c r="GW33" s="63">
        <v>0</v>
      </c>
      <c r="GX33" s="62">
        <v>0</v>
      </c>
      <c r="GY33" s="63">
        <v>0</v>
      </c>
      <c r="GZ33" s="62">
        <v>0</v>
      </c>
      <c r="HA33" s="63">
        <v>0</v>
      </c>
    </row>
    <row r="34" spans="1:209" x14ac:dyDescent="0.3">
      <c r="A34" s="68" t="s">
        <v>456</v>
      </c>
      <c r="B34" s="71" t="s">
        <v>238</v>
      </c>
      <c r="C34" s="72"/>
      <c r="D34" s="73">
        <v>3015632500</v>
      </c>
      <c r="E34" s="74">
        <v>4959921.875</v>
      </c>
      <c r="F34" s="75">
        <v>7816186670</v>
      </c>
      <c r="G34" s="76">
        <v>6233003.7240829347</v>
      </c>
      <c r="H34" s="75">
        <v>3045683400</v>
      </c>
      <c r="I34" s="76">
        <v>3696217.7184466021</v>
      </c>
      <c r="J34" s="73">
        <v>2876980660</v>
      </c>
      <c r="K34" s="74">
        <v>3957332.4071526821</v>
      </c>
      <c r="L34" s="73">
        <v>4869854285</v>
      </c>
      <c r="M34" s="74">
        <v>19401809.900398407</v>
      </c>
      <c r="N34" s="73">
        <v>2561770800</v>
      </c>
      <c r="O34" s="74">
        <v>3638878.9772727271</v>
      </c>
      <c r="P34" s="73">
        <v>3803079088</v>
      </c>
      <c r="Q34" s="74">
        <v>4239776.0178372348</v>
      </c>
      <c r="R34" s="73">
        <v>9676723500</v>
      </c>
      <c r="S34" s="74">
        <v>5250528.2148670647</v>
      </c>
      <c r="T34" s="73">
        <v>6192192526.3520603</v>
      </c>
      <c r="U34" s="74">
        <v>4158624.933748865</v>
      </c>
      <c r="V34" s="73">
        <v>3351396000</v>
      </c>
      <c r="W34" s="74">
        <v>4042697.2255729795</v>
      </c>
      <c r="X34" s="73">
        <v>3312799570.305891</v>
      </c>
      <c r="Y34" s="74">
        <v>5624447.4877858935</v>
      </c>
      <c r="Z34" s="73">
        <v>2075947000</v>
      </c>
      <c r="AA34" s="74">
        <v>3954184.7619047621</v>
      </c>
      <c r="AB34" s="73">
        <v>32402105300</v>
      </c>
      <c r="AC34" s="74">
        <v>9402816.3958212417</v>
      </c>
      <c r="AD34" s="73">
        <v>1918490500</v>
      </c>
      <c r="AE34" s="74">
        <v>4330678.3295711065</v>
      </c>
      <c r="AF34" s="73">
        <v>1807945000</v>
      </c>
      <c r="AG34" s="74">
        <v>4044619.6868008948</v>
      </c>
      <c r="AH34" s="73">
        <v>9118307762.7558155</v>
      </c>
      <c r="AI34" s="74">
        <v>9081979.8433822859</v>
      </c>
      <c r="AJ34" s="73">
        <v>983973600</v>
      </c>
      <c r="AK34" s="74">
        <v>4823400</v>
      </c>
      <c r="AL34" s="73">
        <v>3574384600</v>
      </c>
      <c r="AM34" s="74">
        <v>12454301.742160279</v>
      </c>
      <c r="AN34" s="73">
        <v>3574008235.0677986</v>
      </c>
      <c r="AO34" s="74">
        <v>10359444.159616807</v>
      </c>
      <c r="AP34" s="73">
        <v>2345675000</v>
      </c>
      <c r="AQ34" s="74">
        <v>4051252.158894646</v>
      </c>
      <c r="AR34" s="73">
        <v>8275339200</v>
      </c>
      <c r="AS34" s="74">
        <v>5111389.252625077</v>
      </c>
      <c r="AT34" s="73">
        <v>3758014122</v>
      </c>
      <c r="AU34" s="74">
        <v>4147918.4569536424</v>
      </c>
      <c r="AV34" s="73">
        <v>7131328977.3432226</v>
      </c>
      <c r="AW34" s="74">
        <v>7751444.5405904595</v>
      </c>
      <c r="AX34" s="73">
        <v>29568117124</v>
      </c>
      <c r="AY34" s="74">
        <v>14776670.226886557</v>
      </c>
      <c r="AZ34" s="73">
        <v>4324201652</v>
      </c>
      <c r="BA34" s="74">
        <v>4490344.3946002079</v>
      </c>
      <c r="BB34" s="73">
        <v>4370247944</v>
      </c>
      <c r="BC34" s="74">
        <v>4374622.5665665669</v>
      </c>
      <c r="BD34" s="73">
        <v>7928886744</v>
      </c>
      <c r="BE34" s="74">
        <v>7913060.6227544909</v>
      </c>
      <c r="BF34" s="73">
        <v>1491442100</v>
      </c>
      <c r="BG34" s="74">
        <v>4273473.0659025786</v>
      </c>
      <c r="BH34" s="73">
        <v>4977500800</v>
      </c>
      <c r="BI34" s="74">
        <v>5630657.0135746608</v>
      </c>
      <c r="BJ34" s="73">
        <v>4308684980</v>
      </c>
      <c r="BK34" s="74">
        <v>5069041.1529411767</v>
      </c>
      <c r="BL34" s="73">
        <v>9613056196</v>
      </c>
      <c r="BM34" s="74">
        <v>15656443.315960912</v>
      </c>
      <c r="BN34" s="73">
        <v>1851120500</v>
      </c>
      <c r="BO34" s="74">
        <v>4335176.81498829</v>
      </c>
      <c r="BP34" s="73">
        <v>4683885325</v>
      </c>
      <c r="BQ34" s="74">
        <v>4605590.2900688294</v>
      </c>
      <c r="BR34" s="73">
        <v>10845304860</v>
      </c>
      <c r="BS34" s="74">
        <v>7033271.6342412448</v>
      </c>
      <c r="BT34" s="73">
        <v>53657197220</v>
      </c>
      <c r="BU34" s="74">
        <v>17933555.220588237</v>
      </c>
      <c r="BV34" s="73">
        <v>14049708900</v>
      </c>
      <c r="BW34" s="74">
        <v>6311639.218328841</v>
      </c>
      <c r="BX34" s="73">
        <v>1681352494</v>
      </c>
      <c r="BY34" s="74">
        <v>5441270.2071197415</v>
      </c>
      <c r="BZ34" s="73">
        <v>13621962918</v>
      </c>
      <c r="CA34" s="74">
        <v>16858864.997524753</v>
      </c>
      <c r="CB34" s="73">
        <v>7847237372.5200005</v>
      </c>
      <c r="CC34" s="74">
        <v>8856927.0570203159</v>
      </c>
      <c r="CD34" s="73">
        <v>2158844150</v>
      </c>
      <c r="CE34" s="74">
        <v>4159622.6396917147</v>
      </c>
      <c r="CF34" s="73">
        <v>7698647400</v>
      </c>
      <c r="CG34" s="74">
        <v>7745118.1086519118</v>
      </c>
      <c r="CH34" s="73">
        <v>2343235650</v>
      </c>
      <c r="CI34" s="74">
        <v>4118164.5869947276</v>
      </c>
      <c r="CJ34" s="73">
        <v>37103113644</v>
      </c>
      <c r="CK34" s="74">
        <v>11168908.381697772</v>
      </c>
      <c r="CL34" s="73">
        <v>9805915700</v>
      </c>
      <c r="CM34" s="74">
        <v>4315984.022887324</v>
      </c>
      <c r="CN34" s="73">
        <v>3143111450</v>
      </c>
      <c r="CO34" s="74">
        <v>4509485.5810616929</v>
      </c>
      <c r="CP34" s="73">
        <v>3524337400</v>
      </c>
      <c r="CQ34" s="74">
        <v>4383504.2288557217</v>
      </c>
      <c r="CR34" s="73">
        <v>6525866050</v>
      </c>
      <c r="CS34" s="74">
        <v>13709802.62605042</v>
      </c>
      <c r="CT34" s="73">
        <v>10970547700</v>
      </c>
      <c r="CU34" s="74">
        <v>5488017.8589294646</v>
      </c>
      <c r="CV34" s="73">
        <v>52365355520</v>
      </c>
      <c r="CW34" s="74">
        <v>13773107.711730668</v>
      </c>
      <c r="CX34" s="73">
        <v>4731463550</v>
      </c>
      <c r="CY34" s="74">
        <v>4451047.5540921921</v>
      </c>
      <c r="CZ34" s="73">
        <v>1524847610</v>
      </c>
      <c r="DA34" s="74">
        <v>6601071.9047619049</v>
      </c>
      <c r="DB34" s="73">
        <v>2609073405</v>
      </c>
      <c r="DC34" s="74">
        <v>4263191.8382352944</v>
      </c>
      <c r="DD34" s="73">
        <v>2084154050</v>
      </c>
      <c r="DE34" s="74">
        <v>4227493.0020283973</v>
      </c>
      <c r="DF34" s="73">
        <v>3036105285</v>
      </c>
      <c r="DG34" s="74">
        <v>4331105.9700427959</v>
      </c>
      <c r="DH34" s="73">
        <v>10205154976</v>
      </c>
      <c r="DI34" s="74">
        <v>33459524.51147541</v>
      </c>
      <c r="DJ34" s="73">
        <v>15526875200</v>
      </c>
      <c r="DK34" s="74">
        <v>16749595.685005393</v>
      </c>
      <c r="DL34" s="73">
        <v>10586120360</v>
      </c>
      <c r="DM34" s="74">
        <v>6004605.9897901304</v>
      </c>
      <c r="DN34" s="73">
        <v>10069396260</v>
      </c>
      <c r="DO34" s="74">
        <v>10944995.934782609</v>
      </c>
      <c r="DP34" s="73">
        <v>6438789600</v>
      </c>
      <c r="DQ34" s="74">
        <v>5657987.3462214414</v>
      </c>
      <c r="DR34" s="73">
        <v>50956123659.964417</v>
      </c>
      <c r="DS34" s="74">
        <v>15933747.235761231</v>
      </c>
      <c r="DT34" s="73">
        <v>4471538400</v>
      </c>
      <c r="DU34" s="74">
        <v>4736799.1525423732</v>
      </c>
      <c r="DV34" s="73">
        <v>10662196880</v>
      </c>
      <c r="DW34" s="74">
        <v>7529800.0564971752</v>
      </c>
      <c r="DX34" s="73">
        <v>2008834620</v>
      </c>
      <c r="DY34" s="74">
        <v>4185072.125</v>
      </c>
      <c r="DZ34" s="73">
        <v>5723135202</v>
      </c>
      <c r="EA34" s="74">
        <v>5786789.8907987867</v>
      </c>
      <c r="EB34" s="73">
        <v>11949341690</v>
      </c>
      <c r="EC34" s="74">
        <v>6414032.0397208799</v>
      </c>
      <c r="ED34" s="73">
        <v>2721791200</v>
      </c>
      <c r="EE34" s="74">
        <v>5174507.9847908746</v>
      </c>
      <c r="EF34" s="73">
        <f>SUM(EF20:EF33)</f>
        <v>28911315931</v>
      </c>
      <c r="EG34" s="74" t="e">
        <f>EF34/$EM$62</f>
        <v>#DIV/0!</v>
      </c>
      <c r="EH34" s="73">
        <v>6603110437</v>
      </c>
      <c r="EI34" s="74">
        <v>21649542.416393444</v>
      </c>
      <c r="EJ34" s="73">
        <v>12313465368</v>
      </c>
      <c r="EK34" s="74">
        <v>8695950.118644068</v>
      </c>
      <c r="EL34" s="73">
        <v>4703960991</v>
      </c>
      <c r="EM34" s="74">
        <v>5580024.9003558718</v>
      </c>
      <c r="EN34" s="73">
        <v>71492451090</v>
      </c>
      <c r="EO34" s="74">
        <v>10203004.294277152</v>
      </c>
      <c r="EP34" s="73">
        <v>4367382411</v>
      </c>
      <c r="EQ34" s="74">
        <v>4324141.0009900993</v>
      </c>
      <c r="ER34" s="73">
        <v>13720629095</v>
      </c>
      <c r="ES34" s="74">
        <v>12484648.858052775</v>
      </c>
      <c r="ET34" s="73">
        <v>35666665412</v>
      </c>
      <c r="EU34" s="74">
        <v>11090381.036069652</v>
      </c>
      <c r="EV34" s="73">
        <v>15488831352</v>
      </c>
      <c r="EW34" s="74">
        <v>10977201.525159461</v>
      </c>
      <c r="EX34" s="73">
        <v>4041140840</v>
      </c>
      <c r="EY34" s="74">
        <v>4754283.3411764707</v>
      </c>
      <c r="EZ34" s="73">
        <v>5849888400</v>
      </c>
      <c r="FA34" s="74">
        <v>5223114.6428571427</v>
      </c>
      <c r="FB34" s="73">
        <v>13285540649</v>
      </c>
      <c r="FC34" s="74">
        <v>4702846.247433628</v>
      </c>
      <c r="FD34" s="73">
        <v>5183872754</v>
      </c>
      <c r="FE34" s="74">
        <v>4426876.8181041842</v>
      </c>
      <c r="FF34" s="73">
        <v>14972565800</v>
      </c>
      <c r="FG34" s="74">
        <v>5830438.3956386289</v>
      </c>
      <c r="FH34" s="73">
        <v>2927994850</v>
      </c>
      <c r="FI34" s="74">
        <v>5039578.0550774522</v>
      </c>
      <c r="FJ34" s="73">
        <v>2043538410</v>
      </c>
      <c r="FK34" s="74">
        <v>4145108.3367139958</v>
      </c>
      <c r="FL34" s="73">
        <v>9755399700</v>
      </c>
      <c r="FM34" s="74">
        <v>7323873.6486486485</v>
      </c>
      <c r="FN34" s="73">
        <v>6257403256</v>
      </c>
      <c r="FO34" s="74">
        <v>120334678</v>
      </c>
      <c r="FP34" s="73">
        <v>13806742363</v>
      </c>
      <c r="FQ34" s="77">
        <v>5617063.6139137512</v>
      </c>
      <c r="FR34" s="73">
        <v>269937417.60000002</v>
      </c>
      <c r="FS34" s="74">
        <v>13496870.880000001</v>
      </c>
      <c r="FT34" s="73">
        <v>5954264002</v>
      </c>
      <c r="FU34" s="74">
        <v>6020489.3852376137</v>
      </c>
      <c r="FV34" s="73">
        <v>16097736363</v>
      </c>
      <c r="FW34" s="74">
        <v>6638241.7991752578</v>
      </c>
      <c r="FX34" s="73">
        <v>9866915600</v>
      </c>
      <c r="FY34" s="74">
        <v>4803756.377799416</v>
      </c>
      <c r="FZ34" s="73">
        <v>13414270431.6</v>
      </c>
      <c r="GA34" s="74">
        <v>12205887.562875342</v>
      </c>
      <c r="GB34" s="73">
        <v>37386018230.400002</v>
      </c>
      <c r="GC34" s="74">
        <v>11625005.668656716</v>
      </c>
      <c r="GD34" s="73">
        <v>27914586013</v>
      </c>
      <c r="GE34" s="74">
        <v>10703445.557131901</v>
      </c>
      <c r="GF34" s="73">
        <v>14823404320.241072</v>
      </c>
      <c r="GG34" s="74">
        <v>7419121.2814019378</v>
      </c>
      <c r="GH34" s="73">
        <v>7480901882.3214283</v>
      </c>
      <c r="GI34" s="74">
        <v>4675563.6764508924</v>
      </c>
      <c r="GJ34" s="73">
        <v>3575797131.3839288</v>
      </c>
      <c r="GK34" s="74">
        <v>4662056.2338773515</v>
      </c>
      <c r="GL34" s="73">
        <v>17579322181.83036</v>
      </c>
      <c r="GM34" s="74">
        <v>6153070.4171614842</v>
      </c>
      <c r="GN34" s="73">
        <v>8550164370.4732141</v>
      </c>
      <c r="GO34" s="74">
        <v>6338150.0151765859</v>
      </c>
      <c r="GP34" s="73">
        <v>4811724852.0982141</v>
      </c>
      <c r="GQ34" s="74">
        <v>5059647.583699489</v>
      </c>
      <c r="GR34" s="73">
        <v>14684836743.102678</v>
      </c>
      <c r="GS34" s="74">
        <v>7216135.9916966474</v>
      </c>
      <c r="GT34" s="73">
        <v>4357726480.8928566</v>
      </c>
      <c r="GU34" s="74">
        <v>6745706.6267691283</v>
      </c>
      <c r="GV34" s="73">
        <v>6721873104.4196424</v>
      </c>
      <c r="GW34" s="74">
        <v>5917141.8172708116</v>
      </c>
      <c r="GX34" s="73">
        <v>3415362269.2410717</v>
      </c>
      <c r="GY34" s="74">
        <v>4858267.8083087793</v>
      </c>
      <c r="GZ34" s="73">
        <v>3865590601.6071429</v>
      </c>
      <c r="HA34" s="74">
        <v>4807948.5094616208</v>
      </c>
    </row>
    <row r="35" spans="1:209" ht="17.25" thickBot="1" x14ac:dyDescent="0.35">
      <c r="A35" s="151" t="s">
        <v>239</v>
      </c>
      <c r="B35" s="152"/>
      <c r="C35" s="153"/>
      <c r="D35" s="78">
        <v>16796409282</v>
      </c>
      <c r="E35" s="79">
        <v>613356.16364342428</v>
      </c>
      <c r="F35" s="80">
        <v>28992013666</v>
      </c>
      <c r="G35" s="81">
        <v>397133.7902926926</v>
      </c>
      <c r="H35" s="80">
        <v>14740431133</v>
      </c>
      <c r="I35" s="81">
        <v>377061.13136450568</v>
      </c>
      <c r="J35" s="78">
        <v>15122061185</v>
      </c>
      <c r="K35" s="79">
        <v>357957.17282216944</v>
      </c>
      <c r="L35" s="78">
        <v>11961879295</v>
      </c>
      <c r="M35" s="79">
        <v>791468.69545206905</v>
      </c>
      <c r="N35" s="78">
        <v>13047149261</v>
      </c>
      <c r="O35" s="79">
        <v>334657.83670620585</v>
      </c>
      <c r="P35" s="78">
        <v>26427092305</v>
      </c>
      <c r="Q35" s="79">
        <v>616178.77655597008</v>
      </c>
      <c r="R35" s="78">
        <v>33136980202</v>
      </c>
      <c r="S35" s="79">
        <v>477441.07141846063</v>
      </c>
      <c r="T35" s="78">
        <v>29865839708</v>
      </c>
      <c r="U35" s="79">
        <v>441377.10429420846</v>
      </c>
      <c r="V35" s="78">
        <v>17373657666</v>
      </c>
      <c r="W35" s="79">
        <v>385099.41812920372</v>
      </c>
      <c r="X35" s="78">
        <v>13505598705</v>
      </c>
      <c r="Y35" s="79">
        <v>473619.15241664869</v>
      </c>
      <c r="Z35" s="78">
        <v>10697758295</v>
      </c>
      <c r="AA35" s="79">
        <v>463500.27424784307</v>
      </c>
      <c r="AB35" s="78">
        <v>86544207762</v>
      </c>
      <c r="AC35" s="79">
        <v>528711.29800709954</v>
      </c>
      <c r="AD35" s="78">
        <v>7315417386</v>
      </c>
      <c r="AE35" s="79">
        <v>306406.81586579233</v>
      </c>
      <c r="AF35" s="78">
        <v>6702619099.4784317</v>
      </c>
      <c r="AG35" s="79">
        <v>298875.83041221602</v>
      </c>
      <c r="AH35" s="78">
        <v>25958738551.93224</v>
      </c>
      <c r="AI35" s="79">
        <v>519461.72453630593</v>
      </c>
      <c r="AJ35" s="78">
        <v>8607111790</v>
      </c>
      <c r="AK35" s="79">
        <v>804146.48892681336</v>
      </c>
      <c r="AL35" s="78">
        <v>9973007126</v>
      </c>
      <c r="AM35" s="79">
        <v>660748.19284233754</v>
      </c>
      <c r="AN35" s="78">
        <v>9873110484</v>
      </c>
      <c r="AO35" s="79">
        <v>615150.2010072635</v>
      </c>
      <c r="AP35" s="78">
        <v>8073132809</v>
      </c>
      <c r="AQ35" s="79">
        <v>266945.68388957635</v>
      </c>
      <c r="AR35" s="78">
        <v>31496496869</v>
      </c>
      <c r="AS35" s="79">
        <v>425084.79327578424</v>
      </c>
      <c r="AT35" s="78">
        <v>17680531023</v>
      </c>
      <c r="AU35" s="79">
        <v>427287.85276185052</v>
      </c>
      <c r="AV35" s="78">
        <v>30622108826</v>
      </c>
      <c r="AW35" s="79">
        <v>545323.85677394771</v>
      </c>
      <c r="AX35" s="78">
        <v>125544156665</v>
      </c>
      <c r="AY35" s="79">
        <v>897627.07673637732</v>
      </c>
      <c r="AZ35" s="78">
        <v>21954365355</v>
      </c>
      <c r="BA35" s="79">
        <v>470800.59344140394</v>
      </c>
      <c r="BB35" s="78">
        <v>17171578087</v>
      </c>
      <c r="BC35" s="79">
        <v>268734.0496981187</v>
      </c>
      <c r="BD35" s="78">
        <v>27188327662</v>
      </c>
      <c r="BE35" s="79">
        <v>512895.39522662567</v>
      </c>
      <c r="BF35" s="78">
        <v>6123863584</v>
      </c>
      <c r="BG35" s="79">
        <v>276106.12909238116</v>
      </c>
      <c r="BH35" s="78">
        <v>14931642641</v>
      </c>
      <c r="BI35" s="79">
        <v>291931.01689141989</v>
      </c>
      <c r="BJ35" s="78">
        <v>14328842685</v>
      </c>
      <c r="BK35" s="79">
        <v>271203.97866408428</v>
      </c>
      <c r="BL35" s="78">
        <v>22636228116.0481</v>
      </c>
      <c r="BM35" s="79">
        <v>748312.23572466127</v>
      </c>
      <c r="BN35" s="78">
        <v>7372579951</v>
      </c>
      <c r="BO35" s="79">
        <v>283996.72386713745</v>
      </c>
      <c r="BP35" s="78">
        <v>22131860730</v>
      </c>
      <c r="BQ35" s="79">
        <v>459732.16418434499</v>
      </c>
      <c r="BR35" s="78">
        <v>35266678868</v>
      </c>
      <c r="BS35" s="79">
        <v>492667.3027497346</v>
      </c>
      <c r="BT35" s="78">
        <v>94603687179</v>
      </c>
      <c r="BU35" s="79">
        <v>632038.75762679055</v>
      </c>
      <c r="BV35" s="78">
        <v>49052418072</v>
      </c>
      <c r="BW35" s="79">
        <v>407349.42746547086</v>
      </c>
      <c r="BX35" s="78">
        <v>6007258917</v>
      </c>
      <c r="BY35" s="79">
        <v>370887.09221606923</v>
      </c>
      <c r="BZ35" s="78">
        <v>26578075735</v>
      </c>
      <c r="CA35" s="79">
        <v>744590.34993725852</v>
      </c>
      <c r="CB35" s="78">
        <v>31002481644.52</v>
      </c>
      <c r="CC35" s="79">
        <v>477311.85260640265</v>
      </c>
      <c r="CD35" s="78">
        <v>8369211772</v>
      </c>
      <c r="CE35" s="79">
        <v>324402.25139937102</v>
      </c>
      <c r="CF35" s="78">
        <v>21975427019</v>
      </c>
      <c r="CG35" s="79">
        <v>381894.23574480304</v>
      </c>
      <c r="CH35" s="78">
        <v>8768695583</v>
      </c>
      <c r="CI35" s="79">
        <v>290506.26807116781</v>
      </c>
      <c r="CJ35" s="78">
        <v>106022018659.45453</v>
      </c>
      <c r="CK35" s="79">
        <v>460111.59759951191</v>
      </c>
      <c r="CL35" s="78">
        <v>35243632094</v>
      </c>
      <c r="CM35" s="79">
        <v>296122.92093743413</v>
      </c>
      <c r="CN35" s="78">
        <v>10687316759</v>
      </c>
      <c r="CO35" s="79">
        <v>298285.51546930609</v>
      </c>
      <c r="CP35" s="78">
        <v>10920282069</v>
      </c>
      <c r="CQ35" s="79">
        <v>308161.10413732904</v>
      </c>
      <c r="CR35" s="78">
        <v>14151705666.172501</v>
      </c>
      <c r="CS35" s="79">
        <v>944513.54643388093</v>
      </c>
      <c r="CT35" s="78">
        <v>39239699956</v>
      </c>
      <c r="CU35" s="79">
        <v>433675.94669371581</v>
      </c>
      <c r="CV35" s="78">
        <v>154633180755</v>
      </c>
      <c r="CW35" s="79">
        <v>656727.24519774877</v>
      </c>
      <c r="CX35" s="78">
        <v>32099399650</v>
      </c>
      <c r="CY35" s="79">
        <v>495529.22435387701</v>
      </c>
      <c r="CZ35" s="78">
        <v>11520734022.26</v>
      </c>
      <c r="DA35" s="79">
        <v>786446.38142221817</v>
      </c>
      <c r="DB35" s="78">
        <v>9079035878</v>
      </c>
      <c r="DC35" s="79">
        <v>296620.64220289403</v>
      </c>
      <c r="DD35" s="78">
        <v>7353735304</v>
      </c>
      <c r="DE35" s="79">
        <v>304674.99061918142</v>
      </c>
      <c r="DF35" s="78">
        <v>9899005934</v>
      </c>
      <c r="DG35" s="79">
        <v>280509.2298047056</v>
      </c>
      <c r="DH35" s="78">
        <v>20876483886.5</v>
      </c>
      <c r="DI35" s="79">
        <v>960578.60388253257</v>
      </c>
      <c r="DJ35" s="78">
        <v>47579545785.085938</v>
      </c>
      <c r="DK35" s="79">
        <v>665271.73455340636</v>
      </c>
      <c r="DL35" s="78">
        <v>29466310853</v>
      </c>
      <c r="DM35" s="79">
        <v>282659.69088663696</v>
      </c>
      <c r="DN35" s="78">
        <v>37856645692.400002</v>
      </c>
      <c r="DO35" s="79">
        <v>702020.00533700432</v>
      </c>
      <c r="DP35" s="78">
        <v>26631564796</v>
      </c>
      <c r="DQ35" s="79">
        <v>483239.90349661023</v>
      </c>
      <c r="DR35" s="78">
        <v>118830930640.96442</v>
      </c>
      <c r="DS35" s="79">
        <v>639414.75570792169</v>
      </c>
      <c r="DT35" s="78">
        <v>13916781969.75</v>
      </c>
      <c r="DU35" s="79">
        <v>277140.7975412524</v>
      </c>
      <c r="DV35" s="78">
        <v>51340530056</v>
      </c>
      <c r="DW35" s="79">
        <v>635673.49207838357</v>
      </c>
      <c r="DX35" s="78">
        <v>8725357745</v>
      </c>
      <c r="DY35" s="79">
        <v>319702.34896886937</v>
      </c>
      <c r="DZ35" s="78">
        <v>19888495669</v>
      </c>
      <c r="EA35" s="79">
        <v>351763.96153122291</v>
      </c>
      <c r="EB35" s="78">
        <v>40527422889</v>
      </c>
      <c r="EC35" s="79">
        <v>442988.54584280273</v>
      </c>
      <c r="ED35" s="78">
        <v>12372300163</v>
      </c>
      <c r="EE35" s="79">
        <v>394390.20772056014</v>
      </c>
      <c r="EF35" s="78">
        <f>EF34+EF19</f>
        <v>65434244409</v>
      </c>
      <c r="EG35" s="79">
        <f>EF35/EF14</f>
        <v>677092.76085471851</v>
      </c>
      <c r="EH35" s="78">
        <v>18578370124</v>
      </c>
      <c r="EI35" s="79">
        <v>776386.12978285435</v>
      </c>
      <c r="EJ35" s="78">
        <v>53271442124</v>
      </c>
      <c r="EK35" s="79">
        <v>659581.10689698847</v>
      </c>
      <c r="EL35" s="78">
        <v>13220324848</v>
      </c>
      <c r="EM35" s="79">
        <v>304217.88858713553</v>
      </c>
      <c r="EN35" s="78">
        <v>221137289866</v>
      </c>
      <c r="EO35" s="79">
        <v>589308.87637158192</v>
      </c>
      <c r="EP35" s="78">
        <v>14509502152</v>
      </c>
      <c r="EQ35" s="79">
        <v>282424.62795923097</v>
      </c>
      <c r="ER35" s="78">
        <v>33805249958.674999</v>
      </c>
      <c r="ES35" s="79">
        <v>432173.88582032168</v>
      </c>
      <c r="ET35" s="78">
        <v>100477960333.13049</v>
      </c>
      <c r="EU35" s="79">
        <v>514445.49117912061</v>
      </c>
      <c r="EV35" s="78">
        <v>59561937649</v>
      </c>
      <c r="EW35" s="79">
        <v>731184.0074936999</v>
      </c>
      <c r="EX35" s="78">
        <v>14958871168</v>
      </c>
      <c r="EY35" s="79">
        <v>282860.21053724812</v>
      </c>
      <c r="EZ35" s="78">
        <v>22185173862.200001</v>
      </c>
      <c r="FA35" s="79">
        <v>345278.98295115115</v>
      </c>
      <c r="FB35" s="78">
        <v>57728438076.022438</v>
      </c>
      <c r="FC35" s="79">
        <v>484289.70473936113</v>
      </c>
      <c r="FD35" s="78">
        <v>17548052007</v>
      </c>
      <c r="FE35" s="79">
        <v>282383.62430568226</v>
      </c>
      <c r="FF35" s="78">
        <v>55923047134.537506</v>
      </c>
      <c r="FG35" s="79">
        <v>474787.76912954036</v>
      </c>
      <c r="FH35" s="78">
        <v>22656803282.775547</v>
      </c>
      <c r="FI35" s="79">
        <v>751822.97553977906</v>
      </c>
      <c r="FJ35" s="78">
        <v>7521261645</v>
      </c>
      <c r="FK35" s="79">
        <v>284841.181647852</v>
      </c>
      <c r="FL35" s="78">
        <v>37088794699.440338</v>
      </c>
      <c r="FM35" s="79">
        <v>558475.66085655126</v>
      </c>
      <c r="FN35" s="78">
        <v>11250812822</v>
      </c>
      <c r="FO35" s="79">
        <v>1976338.7868484536</v>
      </c>
      <c r="FP35" s="82">
        <v>45629927734</v>
      </c>
      <c r="FQ35" s="83">
        <v>347769.35838388104</v>
      </c>
      <c r="FR35" s="78">
        <v>2912768326.5999999</v>
      </c>
      <c r="FS35" s="79">
        <v>1144771.6864643295</v>
      </c>
      <c r="FT35" s="78">
        <v>20096076240.592712</v>
      </c>
      <c r="FU35" s="79">
        <v>355435.39879905927</v>
      </c>
      <c r="FV35" s="78">
        <v>66774898785.428139</v>
      </c>
      <c r="FW35" s="79">
        <v>512776.78652817488</v>
      </c>
      <c r="FX35" s="78">
        <v>31867133726.729912</v>
      </c>
      <c r="FY35" s="79">
        <v>340136.72826450912</v>
      </c>
      <c r="FZ35" s="78">
        <v>33714687195.79425</v>
      </c>
      <c r="GA35" s="79">
        <v>432101.9695174261</v>
      </c>
      <c r="GB35" s="78">
        <v>98695214766.256714</v>
      </c>
      <c r="GC35" s="79">
        <v>507275.90091458696</v>
      </c>
      <c r="GD35" s="78">
        <v>87514001352.218048</v>
      </c>
      <c r="GE35" s="79">
        <v>682058.04294613726</v>
      </c>
      <c r="GF35" s="78">
        <v>50664804236.60199</v>
      </c>
      <c r="GG35" s="79">
        <v>430518.0191575783</v>
      </c>
      <c r="GH35" s="78">
        <v>24067635388.666348</v>
      </c>
      <c r="GI35" s="79">
        <v>285840.38091577939</v>
      </c>
      <c r="GJ35" s="78">
        <v>16268387233.685764</v>
      </c>
      <c r="GK35" s="79">
        <v>393493.87343176862</v>
      </c>
      <c r="GL35" s="78">
        <v>49901404274.735229</v>
      </c>
      <c r="GM35" s="79">
        <v>369759.97831752669</v>
      </c>
      <c r="GN35" s="78">
        <v>37247352870.607689</v>
      </c>
      <c r="GO35" s="79">
        <v>534466.9606457639</v>
      </c>
      <c r="GP35" s="78">
        <v>24138380168.456581</v>
      </c>
      <c r="GQ35" s="79">
        <v>436445.23523706594</v>
      </c>
      <c r="GR35" s="78">
        <v>59028858238.848557</v>
      </c>
      <c r="GS35" s="79">
        <v>461274.93132030283</v>
      </c>
      <c r="GT35" s="78">
        <v>26580871957.250416</v>
      </c>
      <c r="GU35" s="79">
        <v>763763.52066781383</v>
      </c>
      <c r="GV35" s="78">
        <v>27268763172.43288</v>
      </c>
      <c r="GW35" s="79">
        <v>496390.86401191965</v>
      </c>
      <c r="GX35" s="78">
        <v>10486742450.473969</v>
      </c>
      <c r="GY35" s="79">
        <v>308291.5205362151</v>
      </c>
      <c r="GZ35" s="78">
        <v>11473258181.978193</v>
      </c>
      <c r="HA35" s="79">
        <v>323765.62135219737</v>
      </c>
    </row>
    <row r="36" spans="1:209" ht="16.5" customHeight="1" x14ac:dyDescent="0.3">
      <c r="A36" s="154" t="s">
        <v>240</v>
      </c>
      <c r="B36" s="155"/>
      <c r="C36" s="156"/>
      <c r="D36" s="84">
        <v>232565120</v>
      </c>
      <c r="E36" s="85">
        <v>8492.6038301138251</v>
      </c>
      <c r="F36" s="86">
        <v>444894690</v>
      </c>
      <c r="G36" s="87">
        <v>6094.1856801066151</v>
      </c>
      <c r="H36" s="86">
        <v>214221195</v>
      </c>
      <c r="I36" s="87">
        <v>5479.7912910514051</v>
      </c>
      <c r="J36" s="84">
        <v>228510775</v>
      </c>
      <c r="K36" s="85">
        <v>5409.1218106920305</v>
      </c>
      <c r="L36" s="84">
        <v>152701154</v>
      </c>
      <c r="M36" s="85">
        <v>10103.611662502191</v>
      </c>
      <c r="N36" s="84">
        <v>190274423</v>
      </c>
      <c r="O36" s="85">
        <v>4880.5164643928529</v>
      </c>
      <c r="P36" s="84">
        <v>388906286</v>
      </c>
      <c r="Q36" s="85">
        <v>9067.8080182535687</v>
      </c>
      <c r="R36" s="84">
        <v>425879200</v>
      </c>
      <c r="S36" s="85">
        <v>6136.1119903908639</v>
      </c>
      <c r="T36" s="84">
        <v>437845824</v>
      </c>
      <c r="U36" s="85">
        <v>6470.7747652132957</v>
      </c>
      <c r="V36" s="84">
        <v>248735484</v>
      </c>
      <c r="W36" s="85">
        <v>5513.3980419069376</v>
      </c>
      <c r="X36" s="84">
        <v>199415598</v>
      </c>
      <c r="Y36" s="85">
        <v>6993.177316045475</v>
      </c>
      <c r="Z36" s="84">
        <v>149869901</v>
      </c>
      <c r="AA36" s="85">
        <v>6493.3921948361885</v>
      </c>
      <c r="AB36" s="84">
        <v>995430900</v>
      </c>
      <c r="AC36" s="85">
        <v>6081.2338205545657</v>
      </c>
      <c r="AD36" s="84">
        <v>92706568</v>
      </c>
      <c r="AE36" s="85">
        <v>3883.0216803606936</v>
      </c>
      <c r="AF36" s="84">
        <v>77016409</v>
      </c>
      <c r="AG36" s="85">
        <v>3434.2311346669026</v>
      </c>
      <c r="AH36" s="84">
        <v>335064683</v>
      </c>
      <c r="AI36" s="85">
        <v>6704.997537310418</v>
      </c>
      <c r="AJ36" s="84">
        <v>125147034</v>
      </c>
      <c r="AK36" s="85">
        <v>11692.2552472976</v>
      </c>
      <c r="AL36" s="84">
        <v>124955929</v>
      </c>
      <c r="AM36" s="85">
        <v>8278.7872532886267</v>
      </c>
      <c r="AN36" s="84">
        <v>130894159</v>
      </c>
      <c r="AO36" s="85">
        <v>8155.440815740264</v>
      </c>
      <c r="AP36" s="84">
        <v>96114564</v>
      </c>
      <c r="AQ36" s="85">
        <v>3178.1179160245442</v>
      </c>
      <c r="AR36" s="84">
        <v>417873873</v>
      </c>
      <c r="AS36" s="85">
        <v>5639.7328775438527</v>
      </c>
      <c r="AT36" s="84">
        <v>242859932</v>
      </c>
      <c r="AU36" s="85">
        <v>5869.229760756436</v>
      </c>
      <c r="AV36" s="84">
        <v>436086344</v>
      </c>
      <c r="AW36" s="85">
        <v>7765.9017002322526</v>
      </c>
      <c r="AX36" s="84">
        <v>1940357007</v>
      </c>
      <c r="AY36" s="85">
        <v>13873.341733187359</v>
      </c>
      <c r="AZ36" s="84">
        <v>326831061</v>
      </c>
      <c r="BA36" s="85">
        <v>7008.7317481413793</v>
      </c>
      <c r="BB36" s="84">
        <v>224623904</v>
      </c>
      <c r="BC36" s="85">
        <v>3515.3490887725097</v>
      </c>
      <c r="BD36" s="84">
        <v>380741341</v>
      </c>
      <c r="BE36" s="85">
        <v>7182.5116645274911</v>
      </c>
      <c r="BF36" s="84">
        <v>75395985</v>
      </c>
      <c r="BG36" s="85">
        <v>3399.3725173511693</v>
      </c>
      <c r="BH36" s="84">
        <v>196544074</v>
      </c>
      <c r="BI36" s="85">
        <v>3842.6657244831981</v>
      </c>
      <c r="BJ36" s="84">
        <v>172067429</v>
      </c>
      <c r="BK36" s="85">
        <v>3256.7439233700984</v>
      </c>
      <c r="BL36" s="84">
        <v>268967078</v>
      </c>
      <c r="BM36" s="85">
        <v>8891.5588958841035</v>
      </c>
      <c r="BN36" s="84">
        <v>95512087</v>
      </c>
      <c r="BO36" s="85">
        <v>3679.1896429734638</v>
      </c>
      <c r="BP36" s="84">
        <v>320043450</v>
      </c>
      <c r="BQ36" s="85">
        <v>6648.0749041621229</v>
      </c>
      <c r="BR36" s="84">
        <v>444780396</v>
      </c>
      <c r="BS36" s="85">
        <v>6213.4787013389614</v>
      </c>
      <c r="BT36" s="84">
        <v>1039320697</v>
      </c>
      <c r="BU36" s="85">
        <v>6943.6084543384031</v>
      </c>
      <c r="BV36" s="84">
        <v>614878640</v>
      </c>
      <c r="BW36" s="85">
        <v>5106.1797116118196</v>
      </c>
      <c r="BX36" s="84">
        <v>82309489</v>
      </c>
      <c r="BY36" s="85">
        <v>5081.7731445885229</v>
      </c>
      <c r="BZ36" s="84">
        <v>342541547</v>
      </c>
      <c r="CA36" s="85">
        <v>9596.3730742518292</v>
      </c>
      <c r="CB36" s="84">
        <v>419929126</v>
      </c>
      <c r="CC36" s="85">
        <v>6465.1969281909651</v>
      </c>
      <c r="CD36" s="84">
        <v>107380360</v>
      </c>
      <c r="CE36" s="85">
        <v>4162.2116262629288</v>
      </c>
      <c r="CF36" s="84">
        <v>276286591</v>
      </c>
      <c r="CG36" s="85">
        <v>4801.3745728470194</v>
      </c>
      <c r="CH36" s="84">
        <v>108987412</v>
      </c>
      <c r="CI36" s="85">
        <v>3610.7452958268368</v>
      </c>
      <c r="CJ36" s="84">
        <v>1506908437</v>
      </c>
      <c r="CK36" s="85">
        <v>6539.6420210720462</v>
      </c>
      <c r="CL36" s="84">
        <v>439505288</v>
      </c>
      <c r="CM36" s="85">
        <v>3692.797305989498</v>
      </c>
      <c r="CN36" s="84">
        <v>135656498</v>
      </c>
      <c r="CO36" s="85">
        <v>3786.2046522215269</v>
      </c>
      <c r="CP36" s="84">
        <v>128908701</v>
      </c>
      <c r="CQ36" s="85">
        <v>3637.6942813443743</v>
      </c>
      <c r="CR36" s="84">
        <v>151830450</v>
      </c>
      <c r="CS36" s="85">
        <v>10133.472259032496</v>
      </c>
      <c r="CT36" s="84">
        <v>505829333</v>
      </c>
      <c r="CU36" s="85">
        <v>5590.4100974320363</v>
      </c>
      <c r="CV36" s="84">
        <v>1857914411</v>
      </c>
      <c r="CW36" s="85">
        <v>7890.5640237874695</v>
      </c>
      <c r="CX36" s="84">
        <v>416555178</v>
      </c>
      <c r="CY36" s="85">
        <v>6430.5023304363003</v>
      </c>
      <c r="CZ36" s="84">
        <v>163119168</v>
      </c>
      <c r="DA36" s="85">
        <v>11135.096007453662</v>
      </c>
      <c r="DB36" s="84">
        <v>109943920</v>
      </c>
      <c r="DC36" s="85">
        <v>3591.971283616906</v>
      </c>
      <c r="DD36" s="84">
        <v>88722249</v>
      </c>
      <c r="DE36" s="85">
        <v>3675.8802519155342</v>
      </c>
      <c r="DF36" s="84">
        <v>120443876</v>
      </c>
      <c r="DG36" s="85">
        <v>3413.0314818188353</v>
      </c>
      <c r="DH36" s="84">
        <v>225442997</v>
      </c>
      <c r="DI36" s="85">
        <v>10373.189301929911</v>
      </c>
      <c r="DJ36" s="84">
        <v>422093096</v>
      </c>
      <c r="DK36" s="85">
        <v>5901.8345275367847</v>
      </c>
      <c r="DL36" s="84">
        <v>386801572</v>
      </c>
      <c r="DM36" s="85">
        <v>3710.447952627022</v>
      </c>
      <c r="DN36" s="84">
        <v>526749581</v>
      </c>
      <c r="DO36" s="85">
        <v>9768.132831143108</v>
      </c>
      <c r="DP36" s="84">
        <v>368650008</v>
      </c>
      <c r="DQ36" s="85">
        <v>6689.2950397230052</v>
      </c>
      <c r="DR36" s="84">
        <v>1527083255</v>
      </c>
      <c r="DS36" s="85">
        <v>8217.048887647743</v>
      </c>
      <c r="DT36" s="84">
        <v>161540071</v>
      </c>
      <c r="DU36" s="85">
        <v>3216.9322052413222</v>
      </c>
      <c r="DV36" s="84">
        <v>776714925</v>
      </c>
      <c r="DW36" s="85">
        <v>9616.9067242898163</v>
      </c>
      <c r="DX36" s="84">
        <v>119227226</v>
      </c>
      <c r="DY36" s="85">
        <v>4368.5571786537967</v>
      </c>
      <c r="DZ36" s="84">
        <v>257468598</v>
      </c>
      <c r="EA36" s="85">
        <v>4553.7971051042141</v>
      </c>
      <c r="EB36" s="84">
        <v>520945676</v>
      </c>
      <c r="EC36" s="85">
        <v>5694.2423431757989</v>
      </c>
      <c r="ED36" s="84">
        <v>175001179</v>
      </c>
      <c r="EE36" s="85">
        <v>5578.489886913434</v>
      </c>
      <c r="EF36" s="84"/>
      <c r="EG36" s="85"/>
      <c r="EH36" s="84">
        <v>248298266</v>
      </c>
      <c r="EI36" s="85">
        <v>10376.331641843099</v>
      </c>
      <c r="EJ36" s="84">
        <v>793169508</v>
      </c>
      <c r="EK36" s="85">
        <v>9820.6393742039199</v>
      </c>
      <c r="EL36" s="84">
        <v>168188746</v>
      </c>
      <c r="EM36" s="85">
        <v>3870.2547615521371</v>
      </c>
      <c r="EN36" s="84">
        <v>2767804973</v>
      </c>
      <c r="EO36" s="85">
        <v>7375.9248819711975</v>
      </c>
      <c r="EP36" s="84">
        <v>174904303</v>
      </c>
      <c r="EQ36" s="85">
        <v>3404.4781265244619</v>
      </c>
      <c r="ER36" s="84">
        <v>492941769</v>
      </c>
      <c r="ES36" s="85">
        <v>6301.8779642895261</v>
      </c>
      <c r="ET36" s="84">
        <v>1488005367</v>
      </c>
      <c r="EU36" s="85">
        <v>7618.562810844358</v>
      </c>
      <c r="EV36" s="84">
        <v>804399943</v>
      </c>
      <c r="EW36" s="85">
        <v>9874.8361313648202</v>
      </c>
      <c r="EX36" s="84">
        <v>190722858</v>
      </c>
      <c r="EY36" s="85">
        <v>3606.4156955607036</v>
      </c>
      <c r="EZ36" s="84">
        <v>304632115</v>
      </c>
      <c r="FA36" s="85">
        <v>4741.1423275196094</v>
      </c>
      <c r="FB36" s="84">
        <v>819572310</v>
      </c>
      <c r="FC36" s="85">
        <v>6875.4749868646331</v>
      </c>
      <c r="FD36" s="84">
        <v>215775325</v>
      </c>
      <c r="FE36" s="85">
        <v>3472.2610968403019</v>
      </c>
      <c r="FF36" s="84">
        <v>744458171</v>
      </c>
      <c r="FG36" s="85">
        <v>6320.4645013174686</v>
      </c>
      <c r="FH36" s="84">
        <v>282487105</v>
      </c>
      <c r="FI36" s="85">
        <v>9373.7979353061037</v>
      </c>
      <c r="FJ36" s="84">
        <v>91432904</v>
      </c>
      <c r="FK36" s="85">
        <v>3462.6978352984306</v>
      </c>
      <c r="FL36" s="84">
        <v>465174804</v>
      </c>
      <c r="FM36" s="85">
        <v>7004.5092644015431</v>
      </c>
      <c r="FN36" s="84">
        <v>120401050</v>
      </c>
      <c r="FO36" s="85">
        <v>21149.873245334133</v>
      </c>
      <c r="FP36" s="88">
        <v>643440970</v>
      </c>
      <c r="FQ36" s="89">
        <v>4903.997538616879</v>
      </c>
      <c r="FR36" s="84">
        <v>47745306</v>
      </c>
      <c r="FS36" s="85">
        <v>18764.786052921601</v>
      </c>
      <c r="FT36" s="84">
        <v>260742418</v>
      </c>
      <c r="FU36" s="85">
        <v>4611.7005238296015</v>
      </c>
      <c r="FV36" s="84">
        <v>1000525662</v>
      </c>
      <c r="FW36" s="85">
        <v>7683.2214369644798</v>
      </c>
      <c r="FX36" s="84">
        <v>410724915</v>
      </c>
      <c r="FY36" s="85">
        <v>4383.9094536336379</v>
      </c>
      <c r="FZ36" s="84">
        <v>463681189</v>
      </c>
      <c r="GA36" s="85">
        <v>5942.7380663960475</v>
      </c>
      <c r="GB36" s="84">
        <v>1408064878</v>
      </c>
      <c r="GC36" s="85">
        <v>7237.2037613503935</v>
      </c>
      <c r="GD36" s="84">
        <v>1019061735</v>
      </c>
      <c r="GE36" s="85">
        <v>7942.2634307164935</v>
      </c>
      <c r="GF36" s="84">
        <v>671697190</v>
      </c>
      <c r="GG36" s="85">
        <v>5707.6652731562235</v>
      </c>
      <c r="GH36" s="84">
        <v>271862758</v>
      </c>
      <c r="GI36" s="85">
        <v>3228.7905749198917</v>
      </c>
      <c r="GJ36" s="84">
        <v>226357170</v>
      </c>
      <c r="GK36" s="85">
        <v>5475.0454561299257</v>
      </c>
      <c r="GL36" s="84">
        <v>677140546</v>
      </c>
      <c r="GM36" s="85">
        <v>5017.4835206720581</v>
      </c>
      <c r="GN36" s="84">
        <v>558093433</v>
      </c>
      <c r="GO36" s="85">
        <v>8008.1530069549835</v>
      </c>
      <c r="GP36" s="84">
        <v>347650687</v>
      </c>
      <c r="GQ36" s="85">
        <v>6285.8603108057814</v>
      </c>
      <c r="GR36" s="84">
        <v>877716362</v>
      </c>
      <c r="GS36" s="85">
        <v>6858.8240850269513</v>
      </c>
      <c r="GT36" s="84">
        <v>415622167</v>
      </c>
      <c r="GU36" s="85">
        <v>11942.311375113462</v>
      </c>
      <c r="GV36" s="84">
        <v>376905559</v>
      </c>
      <c r="GW36" s="85">
        <v>6861.0547130368232</v>
      </c>
      <c r="GX36" s="84">
        <v>123039063</v>
      </c>
      <c r="GY36" s="85">
        <v>3617.1289603767045</v>
      </c>
      <c r="GZ36" s="84">
        <v>133670352</v>
      </c>
      <c r="HA36" s="85">
        <v>3772.06403666801</v>
      </c>
    </row>
    <row r="37" spans="1:209" ht="17.25" customHeight="1" thickBot="1" x14ac:dyDescent="0.35">
      <c r="A37" s="135" t="s">
        <v>241</v>
      </c>
      <c r="B37" s="136"/>
      <c r="C37" s="137"/>
      <c r="D37" s="90">
        <v>105330000</v>
      </c>
      <c r="E37" s="91">
        <v>173240.13157894736</v>
      </c>
      <c r="F37" s="92">
        <v>237840000</v>
      </c>
      <c r="G37" s="93">
        <v>189665.07177033494</v>
      </c>
      <c r="H37" s="92">
        <v>155100000</v>
      </c>
      <c r="I37" s="93">
        <v>188228.15533980582</v>
      </c>
      <c r="J37" s="90">
        <v>150795000</v>
      </c>
      <c r="K37" s="91">
        <v>207420.90784044017</v>
      </c>
      <c r="L37" s="90">
        <v>41575000</v>
      </c>
      <c r="M37" s="91">
        <v>165637.45019920319</v>
      </c>
      <c r="N37" s="90">
        <v>143580000</v>
      </c>
      <c r="O37" s="91">
        <v>203948.86363636365</v>
      </c>
      <c r="P37" s="90">
        <v>148005000</v>
      </c>
      <c r="Q37" s="91">
        <v>165000</v>
      </c>
      <c r="R37" s="90">
        <v>302520000</v>
      </c>
      <c r="S37" s="91">
        <v>164145.41508410202</v>
      </c>
      <c r="T37" s="90">
        <v>169410000</v>
      </c>
      <c r="U37" s="91">
        <v>113774.34519811954</v>
      </c>
      <c r="V37" s="90">
        <v>166755000</v>
      </c>
      <c r="W37" s="91">
        <v>201151.99034981907</v>
      </c>
      <c r="X37" s="90">
        <v>56730000</v>
      </c>
      <c r="Y37" s="91">
        <v>96315.789473684214</v>
      </c>
      <c r="Z37" s="90">
        <v>54120000</v>
      </c>
      <c r="AA37" s="91">
        <v>103085.71428571429</v>
      </c>
      <c r="AB37" s="90">
        <v>371490000</v>
      </c>
      <c r="AC37" s="91">
        <v>107803.25014509576</v>
      </c>
      <c r="AD37" s="90">
        <v>55710000</v>
      </c>
      <c r="AE37" s="91">
        <v>125756.20767494357</v>
      </c>
      <c r="AF37" s="90">
        <v>54570000</v>
      </c>
      <c r="AG37" s="91">
        <v>122080.53691275168</v>
      </c>
      <c r="AH37" s="90">
        <v>115920000</v>
      </c>
      <c r="AI37" s="91">
        <v>115458.16733067729</v>
      </c>
      <c r="AJ37" s="90">
        <v>22950000</v>
      </c>
      <c r="AK37" s="91">
        <v>112500</v>
      </c>
      <c r="AL37" s="90">
        <v>31980000</v>
      </c>
      <c r="AM37" s="91">
        <v>111428.57142857143</v>
      </c>
      <c r="AN37" s="90">
        <v>32700000</v>
      </c>
      <c r="AO37" s="91">
        <v>94782.608695652176</v>
      </c>
      <c r="AP37" s="90">
        <v>68460000</v>
      </c>
      <c r="AQ37" s="91">
        <v>118238.34196891192</v>
      </c>
      <c r="AR37" s="90">
        <v>177480000</v>
      </c>
      <c r="AS37" s="91">
        <v>109623.22421247684</v>
      </c>
      <c r="AT37" s="90">
        <v>94650000</v>
      </c>
      <c r="AU37" s="91">
        <v>104470.19867549669</v>
      </c>
      <c r="AV37" s="90">
        <v>79350000</v>
      </c>
      <c r="AW37" s="91">
        <v>86250</v>
      </c>
      <c r="AX37" s="90">
        <v>268530000</v>
      </c>
      <c r="AY37" s="91">
        <v>134197.90104947527</v>
      </c>
      <c r="AZ37" s="90">
        <v>93960000</v>
      </c>
      <c r="BA37" s="91">
        <v>97570.09345794392</v>
      </c>
      <c r="BB37" s="90">
        <v>131780000</v>
      </c>
      <c r="BC37" s="91">
        <v>131911.91191191191</v>
      </c>
      <c r="BD37" s="90">
        <v>105350000</v>
      </c>
      <c r="BE37" s="91">
        <v>105139.72055888224</v>
      </c>
      <c r="BF37" s="90">
        <v>46890000</v>
      </c>
      <c r="BG37" s="91">
        <v>134355.30085959885</v>
      </c>
      <c r="BH37" s="90">
        <v>113760000</v>
      </c>
      <c r="BI37" s="91">
        <v>128687.78280542986</v>
      </c>
      <c r="BJ37" s="90">
        <v>113070000</v>
      </c>
      <c r="BK37" s="91">
        <v>133023.5294117647</v>
      </c>
      <c r="BL37" s="90">
        <v>67830000</v>
      </c>
      <c r="BM37" s="91">
        <v>110472.31270358305</v>
      </c>
      <c r="BN37" s="90">
        <v>51240000</v>
      </c>
      <c r="BO37" s="91">
        <v>120000</v>
      </c>
      <c r="BP37" s="90">
        <v>109320000</v>
      </c>
      <c r="BQ37" s="91">
        <v>107492.62536873156</v>
      </c>
      <c r="BR37" s="90">
        <v>161430000</v>
      </c>
      <c r="BS37" s="91">
        <v>104688.71595330739</v>
      </c>
      <c r="BT37" s="90">
        <v>307590000</v>
      </c>
      <c r="BU37" s="91">
        <v>102804.14438502674</v>
      </c>
      <c r="BV37" s="90">
        <v>261390000</v>
      </c>
      <c r="BW37" s="91">
        <v>117425.87601078168</v>
      </c>
      <c r="BX37" s="90">
        <v>33660000</v>
      </c>
      <c r="BY37" s="91">
        <v>108932.03883495145</v>
      </c>
      <c r="BZ37" s="90">
        <v>86670000</v>
      </c>
      <c r="CA37" s="91">
        <v>107264.85148514851</v>
      </c>
      <c r="CB37" s="90">
        <v>111790000</v>
      </c>
      <c r="CC37" s="91">
        <v>126173.81489841986</v>
      </c>
      <c r="CD37" s="90">
        <v>60870000</v>
      </c>
      <c r="CE37" s="91">
        <v>117283.23699421965</v>
      </c>
      <c r="CF37" s="90">
        <v>119280000</v>
      </c>
      <c r="CG37" s="91">
        <v>120000</v>
      </c>
      <c r="CH37" s="90">
        <v>67290000</v>
      </c>
      <c r="CI37" s="91">
        <v>118260.10544815466</v>
      </c>
      <c r="CJ37" s="90">
        <v>370650000</v>
      </c>
      <c r="CK37" s="91">
        <v>111574.35279951837</v>
      </c>
      <c r="CL37" s="90">
        <v>272640000</v>
      </c>
      <c r="CM37" s="91">
        <v>120000</v>
      </c>
      <c r="CN37" s="90">
        <v>83640000</v>
      </c>
      <c r="CO37" s="91">
        <v>120000</v>
      </c>
      <c r="CP37" s="90">
        <v>85620000</v>
      </c>
      <c r="CQ37" s="91">
        <v>106492.53731343284</v>
      </c>
      <c r="CR37" s="90">
        <v>42840000</v>
      </c>
      <c r="CS37" s="91">
        <v>90000</v>
      </c>
      <c r="CT37" s="90">
        <v>218010000</v>
      </c>
      <c r="CU37" s="91">
        <v>109059.52976488243</v>
      </c>
      <c r="CV37" s="90">
        <v>449370000</v>
      </c>
      <c r="CW37" s="91">
        <v>118193.05628616517</v>
      </c>
      <c r="CX37" s="90">
        <v>137520000</v>
      </c>
      <c r="CY37" s="91">
        <v>129369.70837253057</v>
      </c>
      <c r="CZ37" s="90">
        <v>26850000</v>
      </c>
      <c r="DA37" s="91">
        <v>116233.76623376623</v>
      </c>
      <c r="DB37" s="90">
        <v>64740000</v>
      </c>
      <c r="DC37" s="91">
        <v>105784.3137254902</v>
      </c>
      <c r="DD37" s="90">
        <v>57180000</v>
      </c>
      <c r="DE37" s="91">
        <v>115983.77281947262</v>
      </c>
      <c r="DF37" s="90">
        <v>84120000</v>
      </c>
      <c r="DG37" s="91">
        <v>120000</v>
      </c>
      <c r="DH37" s="90">
        <v>39730000</v>
      </c>
      <c r="DI37" s="91">
        <v>130262.29508196721</v>
      </c>
      <c r="DJ37" s="90">
        <v>58950000</v>
      </c>
      <c r="DK37" s="91">
        <v>63592.23300970874</v>
      </c>
      <c r="DL37" s="90">
        <v>237350000</v>
      </c>
      <c r="DM37" s="91">
        <v>134628.47419171865</v>
      </c>
      <c r="DN37" s="90">
        <v>102520000</v>
      </c>
      <c r="DO37" s="91">
        <v>111434.78260869565</v>
      </c>
      <c r="DP37" s="90">
        <v>113970000</v>
      </c>
      <c r="DQ37" s="91">
        <v>100149.38488576451</v>
      </c>
      <c r="DR37" s="90">
        <v>355440000</v>
      </c>
      <c r="DS37" s="91">
        <v>111144.46529080675</v>
      </c>
      <c r="DT37" s="90">
        <v>113280000</v>
      </c>
      <c r="DU37" s="91">
        <v>120000</v>
      </c>
      <c r="DV37" s="90">
        <v>165520000</v>
      </c>
      <c r="DW37" s="91">
        <v>116892.65536723164</v>
      </c>
      <c r="DX37" s="90">
        <v>59130000</v>
      </c>
      <c r="DY37" s="91">
        <v>123187.5</v>
      </c>
      <c r="DZ37" s="90">
        <v>123350000</v>
      </c>
      <c r="EA37" s="91">
        <v>124721.94135490395</v>
      </c>
      <c r="EB37" s="90">
        <v>204810000</v>
      </c>
      <c r="EC37" s="91">
        <v>109935.58776167472</v>
      </c>
      <c r="ED37" s="90">
        <v>64320000</v>
      </c>
      <c r="EE37" s="91">
        <v>122281.36882129278</v>
      </c>
      <c r="EF37" s="90"/>
      <c r="EG37" s="91"/>
      <c r="EH37" s="90">
        <v>39730000</v>
      </c>
      <c r="EI37" s="91">
        <v>130262.29508196721</v>
      </c>
      <c r="EJ37" s="90">
        <v>165520000</v>
      </c>
      <c r="EK37" s="91">
        <v>116892.65536723164</v>
      </c>
      <c r="EL37" s="90">
        <v>96330000</v>
      </c>
      <c r="EM37" s="91">
        <v>114270.46263345196</v>
      </c>
      <c r="EN37" s="90">
        <v>726160000</v>
      </c>
      <c r="EO37" s="91">
        <v>103633.50934779506</v>
      </c>
      <c r="EP37" s="90">
        <v>121200000</v>
      </c>
      <c r="EQ37" s="91">
        <v>120000</v>
      </c>
      <c r="ER37" s="90">
        <v>162770000</v>
      </c>
      <c r="ES37" s="91">
        <v>148107.3703366697</v>
      </c>
      <c r="ET37" s="90">
        <v>409440000</v>
      </c>
      <c r="EU37" s="91">
        <v>127313.4328358209</v>
      </c>
      <c r="EV37" s="90">
        <v>270075000</v>
      </c>
      <c r="EW37" s="91">
        <v>191406.80368532956</v>
      </c>
      <c r="EX37" s="90">
        <v>113070000</v>
      </c>
      <c r="EY37" s="91">
        <v>133023.5294117647</v>
      </c>
      <c r="EZ37" s="90">
        <v>118440000</v>
      </c>
      <c r="FA37" s="91">
        <v>105750</v>
      </c>
      <c r="FB37" s="90">
        <v>287160000</v>
      </c>
      <c r="FC37" s="91">
        <v>101649.5575221239</v>
      </c>
      <c r="FD37" s="90">
        <v>145530000</v>
      </c>
      <c r="FE37" s="91">
        <v>124278.39453458582</v>
      </c>
      <c r="FF37" s="90">
        <v>252450000</v>
      </c>
      <c r="FG37" s="91">
        <v>98306.074766355145</v>
      </c>
      <c r="FH37" s="90">
        <v>58020000</v>
      </c>
      <c r="FI37" s="91">
        <v>99862.306368330464</v>
      </c>
      <c r="FJ37" s="90">
        <v>59190000</v>
      </c>
      <c r="FK37" s="91">
        <v>120060.85192697769</v>
      </c>
      <c r="FL37" s="90">
        <v>139150000</v>
      </c>
      <c r="FM37" s="91">
        <v>104466.96696696697</v>
      </c>
      <c r="FN37" s="90">
        <v>8920000</v>
      </c>
      <c r="FO37" s="91">
        <v>171538.46153846153</v>
      </c>
      <c r="FP37" s="94">
        <v>302940000</v>
      </c>
      <c r="FQ37" s="95">
        <v>123246.54190398699</v>
      </c>
      <c r="FR37" s="90">
        <v>3200000</v>
      </c>
      <c r="FS37" s="91">
        <v>160000</v>
      </c>
      <c r="FT37" s="90">
        <v>123350000</v>
      </c>
      <c r="FU37" s="91">
        <v>124721.94135490395</v>
      </c>
      <c r="FV37" s="90">
        <v>266760000</v>
      </c>
      <c r="FW37" s="91">
        <v>110004.1237113402</v>
      </c>
      <c r="FX37" s="90">
        <v>200370000</v>
      </c>
      <c r="FY37" s="91">
        <v>97551.119766309639</v>
      </c>
      <c r="FZ37" s="90">
        <v>162770000</v>
      </c>
      <c r="GA37" s="91">
        <v>148107.3703366697</v>
      </c>
      <c r="GB37" s="90">
        <v>409440000</v>
      </c>
      <c r="GC37" s="91">
        <v>127313.4328358209</v>
      </c>
      <c r="GD37" s="90">
        <v>306260000</v>
      </c>
      <c r="GE37" s="91">
        <v>117430.98159509203</v>
      </c>
      <c r="GF37" s="90">
        <v>223510000</v>
      </c>
      <c r="GG37" s="91">
        <v>111866.86686686687</v>
      </c>
      <c r="GH37" s="90">
        <v>196320000</v>
      </c>
      <c r="GI37" s="91">
        <v>122700</v>
      </c>
      <c r="GJ37" s="90">
        <v>92040000</v>
      </c>
      <c r="GK37" s="91">
        <v>120000</v>
      </c>
      <c r="GL37" s="90">
        <v>302730000</v>
      </c>
      <c r="GM37" s="91">
        <v>105960.798039902</v>
      </c>
      <c r="GN37" s="90">
        <v>161370000</v>
      </c>
      <c r="GO37" s="91">
        <v>119621.94217939214</v>
      </c>
      <c r="GP37" s="90">
        <v>120570000</v>
      </c>
      <c r="GQ37" s="91">
        <v>126782.33438485804</v>
      </c>
      <c r="GR37" s="90">
        <v>249510000</v>
      </c>
      <c r="GS37" s="91">
        <v>122609.33660933661</v>
      </c>
      <c r="GT37" s="90">
        <v>73920000</v>
      </c>
      <c r="GU37" s="91">
        <v>2123.9859827986197</v>
      </c>
      <c r="GV37" s="90">
        <v>113580000</v>
      </c>
      <c r="GW37" s="91">
        <v>99982.394366197186</v>
      </c>
      <c r="GX37" s="90">
        <v>74640000</v>
      </c>
      <c r="GY37" s="91">
        <v>106173.54196301565</v>
      </c>
      <c r="GZ37" s="90">
        <v>85620000</v>
      </c>
      <c r="HA37" s="91">
        <v>106492.53731343284</v>
      </c>
    </row>
    <row r="38" spans="1:209" ht="16.5" customHeight="1" x14ac:dyDescent="0.3">
      <c r="A38" s="138" t="s">
        <v>242</v>
      </c>
      <c r="B38" s="139"/>
      <c r="C38" s="140"/>
      <c r="D38" s="96">
        <v>17059682.80756579</v>
      </c>
      <c r="E38" s="97"/>
      <c r="F38" s="96">
        <v>13525713.039872408</v>
      </c>
      <c r="G38" s="97"/>
      <c r="H38" s="98">
        <v>11461035.296116505</v>
      </c>
      <c r="I38" s="99"/>
      <c r="J38" s="98">
        <v>13180458.022008253</v>
      </c>
      <c r="K38" s="99"/>
      <c r="L38" s="98">
        <v>20760616.876494024</v>
      </c>
      <c r="M38" s="99"/>
      <c r="N38" s="98">
        <v>12778990.955965908</v>
      </c>
      <c r="O38" s="99"/>
      <c r="P38" s="98">
        <v>17467988.807134893</v>
      </c>
      <c r="Q38" s="99"/>
      <c r="R38" s="98">
        <v>11047330.447639719</v>
      </c>
      <c r="S38" s="99"/>
      <c r="T38" s="98">
        <v>14035979.356378736</v>
      </c>
      <c r="U38" s="99"/>
      <c r="V38" s="98">
        <v>14601733.634499397</v>
      </c>
      <c r="W38" s="99"/>
      <c r="X38" s="98">
        <v>13012315.85686606</v>
      </c>
      <c r="Y38" s="99"/>
      <c r="Z38" s="98">
        <v>13714291.072380953</v>
      </c>
      <c r="AA38" s="99"/>
      <c r="AB38" s="98">
        <v>13398697.341845619</v>
      </c>
      <c r="AC38" s="99"/>
      <c r="AD38" s="98">
        <v>10698637.776523702</v>
      </c>
      <c r="AE38" s="99"/>
      <c r="AF38" s="98">
        <v>10184709.117401414</v>
      </c>
      <c r="AG38" s="99"/>
      <c r="AH38" s="98">
        <v>13938640.807944646</v>
      </c>
      <c r="AI38" s="99"/>
      <c r="AJ38" s="98">
        <v>30279289.161764707</v>
      </c>
      <c r="AK38" s="99"/>
      <c r="AL38" s="98">
        <v>18901957.63066202</v>
      </c>
      <c r="AM38" s="99"/>
      <c r="AN38" s="98">
        <v>14988685.567919424</v>
      </c>
      <c r="AO38" s="99"/>
      <c r="AP38" s="98">
        <v>8931891.5889464598</v>
      </c>
      <c r="AQ38" s="99"/>
      <c r="AR38" s="98">
        <v>12075513.170475602</v>
      </c>
      <c r="AS38" s="99"/>
      <c r="AT38" s="98">
        <v>13410815.979028698</v>
      </c>
      <c r="AU38" s="99"/>
      <c r="AV38" s="98">
        <v>18362918.295279104</v>
      </c>
      <c r="AW38" s="99"/>
      <c r="AX38" s="98">
        <v>34581214.97151424</v>
      </c>
      <c r="AY38" s="99"/>
      <c r="AZ38" s="98">
        <v>15262074.663551401</v>
      </c>
      <c r="BA38" s="99"/>
      <c r="BB38" s="98">
        <v>10187799.267267268</v>
      </c>
      <c r="BC38" s="99"/>
      <c r="BD38" s="98">
        <v>13458545.234530939</v>
      </c>
      <c r="BE38" s="99"/>
      <c r="BF38" s="98">
        <v>10512584.071633238</v>
      </c>
      <c r="BG38" s="99"/>
      <c r="BH38" s="98">
        <v>9086365.3484162893</v>
      </c>
      <c r="BI38" s="99"/>
      <c r="BJ38" s="98">
        <v>10377426.350588236</v>
      </c>
      <c r="BK38" s="99"/>
      <c r="BL38" s="98">
        <v>17590520.031022962</v>
      </c>
      <c r="BM38" s="99"/>
      <c r="BN38" s="98">
        <v>10206944.217798594</v>
      </c>
      <c r="BO38" s="99"/>
      <c r="BP38" s="98">
        <v>14551752.461160276</v>
      </c>
      <c r="BQ38" s="99"/>
      <c r="BR38" s="98">
        <v>13788003.970168613</v>
      </c>
      <c r="BS38" s="99"/>
      <c r="BT38" s="98">
        <v>11812420.306149732</v>
      </c>
      <c r="BU38" s="99"/>
      <c r="BV38" s="98">
        <v>13608476.18823001</v>
      </c>
      <c r="BW38" s="99"/>
      <c r="BX38" s="98">
        <v>10352480.012944983</v>
      </c>
      <c r="BY38" s="99"/>
      <c r="BZ38" s="98">
        <v>13711729.748762377</v>
      </c>
      <c r="CA38" s="99"/>
      <c r="CB38" s="98">
        <v>20478070.144469526</v>
      </c>
      <c r="CC38" s="99"/>
      <c r="CD38" s="98">
        <v>11029291.439306358</v>
      </c>
      <c r="CE38" s="99"/>
      <c r="CF38" s="98">
        <v>11602019.080482898</v>
      </c>
      <c r="CG38" s="99"/>
      <c r="CH38" s="98">
        <v>10302950.022847101</v>
      </c>
      <c r="CI38" s="99"/>
      <c r="CJ38" s="98">
        <v>14961231.874473209</v>
      </c>
      <c r="CK38" s="99"/>
      <c r="CL38" s="98">
        <v>10164082.705985915</v>
      </c>
      <c r="CM38" s="99"/>
      <c r="CN38" s="98">
        <v>10108839.464849355</v>
      </c>
      <c r="CO38" s="99"/>
      <c r="CP38" s="98">
        <v>8516640.0920398012</v>
      </c>
      <c r="CQ38" s="99"/>
      <c r="CR38" s="98">
        <v>10602861.863445379</v>
      </c>
      <c r="CS38" s="99"/>
      <c r="CT38" s="98">
        <v>12450531.846923461</v>
      </c>
      <c r="CU38" s="99"/>
      <c r="CV38" s="98">
        <v>21124445.80326144</v>
      </c>
      <c r="CW38" s="99"/>
      <c r="CX38" s="98">
        <v>22213298.931326434</v>
      </c>
      <c r="CY38" s="99"/>
      <c r="CZ38" s="98">
        <v>26455952.883116882</v>
      </c>
      <c r="DA38" s="99"/>
      <c r="DB38" s="98">
        <v>9211741.2107843142</v>
      </c>
      <c r="DC38" s="99"/>
      <c r="DD38" s="98">
        <v>9804789.0304259639</v>
      </c>
      <c r="DE38" s="99"/>
      <c r="DF38" s="98">
        <v>9246351.388017118</v>
      </c>
      <c r="DG38" s="99"/>
      <c r="DH38" s="98">
        <v>27058252.219672132</v>
      </c>
      <c r="DI38" s="99"/>
      <c r="DJ38" s="98">
        <v>10540913.740021575</v>
      </c>
      <c r="DK38" s="99"/>
      <c r="DL38" s="98">
        <v>9178430.0799773112</v>
      </c>
      <c r="DM38" s="99"/>
      <c r="DN38" s="98">
        <v>22741735.502173912</v>
      </c>
      <c r="DO38" s="99"/>
      <c r="DP38" s="98">
        <v>14522747.192442883</v>
      </c>
      <c r="DQ38" s="99"/>
      <c r="DR38" s="98">
        <v>15277958.302376484</v>
      </c>
      <c r="DS38" s="99"/>
      <c r="DT38" s="98">
        <v>9033585.4682203382</v>
      </c>
      <c r="DU38" s="99"/>
      <c r="DV38" s="98">
        <v>25935447.146892656</v>
      </c>
      <c r="DW38" s="99"/>
      <c r="DX38" s="98">
        <v>10859039.914583333</v>
      </c>
      <c r="DY38" s="99"/>
      <c r="DZ38" s="98">
        <v>11350814.801820021</v>
      </c>
      <c r="EA38" s="99"/>
      <c r="EB38" s="98">
        <v>13186501.67310789</v>
      </c>
      <c r="EC38" s="99"/>
      <c r="ED38" s="98">
        <v>15105470.674904943</v>
      </c>
      <c r="EE38" s="99"/>
      <c r="EF38" s="98"/>
      <c r="EG38" s="99"/>
      <c r="EH38" s="98">
        <v>29872050.154098362</v>
      </c>
      <c r="EI38" s="99"/>
      <c r="EJ38" s="98">
        <v>25917917.189265538</v>
      </c>
      <c r="EK38" s="99"/>
      <c r="EL38" s="98">
        <v>8978341.3772241995</v>
      </c>
      <c r="EM38" s="99"/>
      <c r="EN38" s="98">
        <v>15132589.003282432</v>
      </c>
      <c r="EO38" s="99"/>
      <c r="EP38" s="98">
        <v>8861046.2346534654</v>
      </c>
      <c r="EQ38" s="99"/>
      <c r="ER38" s="98">
        <v>12133122.032757051</v>
      </c>
      <c r="ES38" s="99"/>
      <c r="ET38" s="98">
        <v>11613437.379042288</v>
      </c>
      <c r="EU38" s="99"/>
      <c r="EV38" s="98">
        <v>21704666.580439404</v>
      </c>
      <c r="EW38" s="99"/>
      <c r="EX38" s="98">
        <v>11193595.117647059</v>
      </c>
      <c r="EY38" s="99"/>
      <c r="EZ38" s="98">
        <v>13419473.140357144</v>
      </c>
      <c r="FA38" s="99"/>
      <c r="FB38" s="98">
        <v>13368009.959628593</v>
      </c>
      <c r="FC38" s="99"/>
      <c r="FD38" s="98">
        <v>8711048.7386848852</v>
      </c>
      <c r="FE38" s="99"/>
      <c r="FF38" s="98">
        <v>13374086.889797509</v>
      </c>
      <c r="FG38" s="99"/>
      <c r="FH38" s="98">
        <v>24985284.577739529</v>
      </c>
      <c r="FI38" s="99"/>
      <c r="FJ38" s="98">
        <v>9567483.6247464512</v>
      </c>
      <c r="FK38" s="99"/>
      <c r="FL38" s="98">
        <v>17317190.355615616</v>
      </c>
      <c r="FM38" s="99"/>
      <c r="FN38" s="98">
        <v>77602966.538461536</v>
      </c>
      <c r="FO38" s="99"/>
      <c r="FP38" s="98">
        <v>11075847.989422295</v>
      </c>
      <c r="FQ38" s="99"/>
      <c r="FR38" s="98">
        <v>122271458.5</v>
      </c>
      <c r="FS38" s="99"/>
      <c r="FT38" s="98">
        <v>11512684.243720932</v>
      </c>
      <c r="FU38" s="99"/>
      <c r="FV38" s="98">
        <v>17230746.342663918</v>
      </c>
      <c r="FW38" s="99"/>
      <c r="FX38" s="98">
        <v>9331560.3662317432</v>
      </c>
      <c r="FY38" s="99"/>
      <c r="FZ38" s="98">
        <v>12621938.993175615</v>
      </c>
      <c r="GA38" s="99"/>
      <c r="GB38" s="98">
        <v>11647337.652748756</v>
      </c>
      <c r="GC38" s="99"/>
      <c r="GD38" s="98">
        <v>19534574.461243238</v>
      </c>
      <c r="GE38" s="99"/>
      <c r="GF38" s="98">
        <v>14367196.227047047</v>
      </c>
      <c r="GG38" s="99"/>
      <c r="GH38" s="98">
        <v>9351777.0331250001</v>
      </c>
      <c r="GI38" s="99"/>
      <c r="GJ38" s="98">
        <v>13905035.139921773</v>
      </c>
      <c r="GK38" s="99"/>
      <c r="GL38" s="98">
        <v>10014176.945201259</v>
      </c>
      <c r="GM38" s="99"/>
      <c r="GN38" s="98">
        <v>17816558.035478134</v>
      </c>
      <c r="GO38" s="99"/>
      <c r="GP38" s="98">
        <v>15945060.755165869</v>
      </c>
      <c r="GQ38" s="99"/>
      <c r="GR38" s="98">
        <v>12701422.065995086</v>
      </c>
      <c r="GS38" s="99"/>
      <c r="GT38" s="98">
        <v>27945385.714736845</v>
      </c>
      <c r="GU38" s="99"/>
      <c r="GV38" s="98">
        <v>14906843.890246479</v>
      </c>
      <c r="GW38" s="99"/>
      <c r="GX38" s="98">
        <v>8703882.9684210531</v>
      </c>
      <c r="GY38" s="99"/>
      <c r="GZ38" s="98">
        <v>8442725.9962686561</v>
      </c>
      <c r="HA38" s="99"/>
    </row>
    <row r="39" spans="1:209" ht="16.5" customHeight="1" x14ac:dyDescent="0.3">
      <c r="A39" s="129" t="s">
        <v>243</v>
      </c>
      <c r="B39" s="130"/>
      <c r="C39" s="100" t="s">
        <v>224</v>
      </c>
      <c r="D39" s="101" t="s">
        <v>244</v>
      </c>
      <c r="E39" s="102"/>
      <c r="F39" s="103" t="s">
        <v>244</v>
      </c>
      <c r="G39" s="104"/>
      <c r="H39" s="105" t="s">
        <v>244</v>
      </c>
      <c r="I39" s="106"/>
      <c r="J39" s="105" t="s">
        <v>244</v>
      </c>
      <c r="K39" s="106"/>
      <c r="L39" s="105" t="s">
        <v>245</v>
      </c>
      <c r="M39" s="106"/>
      <c r="N39" s="105" t="s">
        <v>244</v>
      </c>
      <c r="O39" s="106"/>
      <c r="P39" s="105" t="s">
        <v>246</v>
      </c>
      <c r="Q39" s="106"/>
      <c r="R39" s="105" t="s">
        <v>244</v>
      </c>
      <c r="S39" s="106"/>
      <c r="T39" s="105" t="s">
        <v>244</v>
      </c>
      <c r="U39" s="106"/>
      <c r="V39" s="105" t="s">
        <v>244</v>
      </c>
      <c r="W39" s="106"/>
      <c r="X39" s="105" t="s">
        <v>244</v>
      </c>
      <c r="Y39" s="106"/>
      <c r="Z39" s="105" t="s">
        <v>244</v>
      </c>
      <c r="AA39" s="106"/>
      <c r="AB39" s="105" t="s">
        <v>247</v>
      </c>
      <c r="AC39" s="106"/>
      <c r="AD39" s="105" t="s">
        <v>244</v>
      </c>
      <c r="AE39" s="106"/>
      <c r="AF39" s="105" t="s">
        <v>244</v>
      </c>
      <c r="AG39" s="106"/>
      <c r="AH39" s="105" t="s">
        <v>248</v>
      </c>
      <c r="AI39" s="106"/>
      <c r="AJ39" s="105" t="s">
        <v>244</v>
      </c>
      <c r="AK39" s="106"/>
      <c r="AL39" s="105" t="s">
        <v>249</v>
      </c>
      <c r="AM39" s="106"/>
      <c r="AN39" s="105" t="s">
        <v>244</v>
      </c>
      <c r="AO39" s="106"/>
      <c r="AP39" s="105" t="s">
        <v>244</v>
      </c>
      <c r="AQ39" s="106"/>
      <c r="AR39" s="105" t="s">
        <v>244</v>
      </c>
      <c r="AS39" s="106"/>
      <c r="AT39" s="105" t="s">
        <v>244</v>
      </c>
      <c r="AU39" s="106"/>
      <c r="AV39" s="105" t="s">
        <v>244</v>
      </c>
      <c r="AW39" s="106"/>
      <c r="AX39" s="105" t="s">
        <v>250</v>
      </c>
      <c r="AY39" s="106"/>
      <c r="AZ39" s="105" t="s">
        <v>244</v>
      </c>
      <c r="BA39" s="106"/>
      <c r="BB39" s="105" t="s">
        <v>244</v>
      </c>
      <c r="BC39" s="106"/>
      <c r="BD39" s="105" t="s">
        <v>244</v>
      </c>
      <c r="BE39" s="106"/>
      <c r="BF39" s="105" t="s">
        <v>244</v>
      </c>
      <c r="BG39" s="106"/>
      <c r="BH39" s="105" t="s">
        <v>244</v>
      </c>
      <c r="BI39" s="106"/>
      <c r="BJ39" s="105" t="s">
        <v>244</v>
      </c>
      <c r="BK39" s="106"/>
      <c r="BL39" s="105" t="s">
        <v>251</v>
      </c>
      <c r="BM39" s="106"/>
      <c r="BN39" s="105" t="s">
        <v>244</v>
      </c>
      <c r="BO39" s="106"/>
      <c r="BP39" s="105" t="s">
        <v>244</v>
      </c>
      <c r="BQ39" s="106"/>
      <c r="BR39" s="105" t="s">
        <v>252</v>
      </c>
      <c r="BS39" s="106"/>
      <c r="BT39" s="105" t="s">
        <v>253</v>
      </c>
      <c r="BU39" s="106"/>
      <c r="BV39" s="105" t="s">
        <v>254</v>
      </c>
      <c r="BW39" s="106"/>
      <c r="BX39" s="105" t="s">
        <v>244</v>
      </c>
      <c r="BY39" s="106"/>
      <c r="BZ39" s="105" t="s">
        <v>255</v>
      </c>
      <c r="CA39" s="106"/>
      <c r="CB39" s="105" t="s">
        <v>244</v>
      </c>
      <c r="CC39" s="106"/>
      <c r="CD39" s="105" t="s">
        <v>244</v>
      </c>
      <c r="CE39" s="106"/>
      <c r="CF39" s="105" t="s">
        <v>244</v>
      </c>
      <c r="CG39" s="106"/>
      <c r="CH39" s="105" t="s">
        <v>244</v>
      </c>
      <c r="CI39" s="106"/>
      <c r="CJ39" s="105" t="s">
        <v>256</v>
      </c>
      <c r="CK39" s="106"/>
      <c r="CL39" s="105" t="s">
        <v>244</v>
      </c>
      <c r="CM39" s="106"/>
      <c r="CN39" s="105" t="s">
        <v>244</v>
      </c>
      <c r="CO39" s="106"/>
      <c r="CP39" s="105" t="s">
        <v>244</v>
      </c>
      <c r="CQ39" s="106"/>
      <c r="CR39" s="105" t="s">
        <v>257</v>
      </c>
      <c r="CS39" s="106"/>
      <c r="CT39" s="105" t="s">
        <v>258</v>
      </c>
      <c r="CU39" s="106"/>
      <c r="CV39" s="105" t="s">
        <v>244</v>
      </c>
      <c r="CW39" s="106"/>
      <c r="CX39" s="105" t="s">
        <v>244</v>
      </c>
      <c r="CY39" s="106"/>
      <c r="CZ39" s="105" t="s">
        <v>244</v>
      </c>
      <c r="DA39" s="106"/>
      <c r="DB39" s="105" t="s">
        <v>244</v>
      </c>
      <c r="DC39" s="106"/>
      <c r="DD39" s="105" t="s">
        <v>244</v>
      </c>
      <c r="DE39" s="106"/>
      <c r="DF39" s="105" t="s">
        <v>244</v>
      </c>
      <c r="DG39" s="106"/>
      <c r="DH39" s="105" t="s">
        <v>259</v>
      </c>
      <c r="DI39" s="106"/>
      <c r="DJ39" s="105" t="s">
        <v>244</v>
      </c>
      <c r="DK39" s="106"/>
      <c r="DL39" s="105" t="s">
        <v>244</v>
      </c>
      <c r="DM39" s="106"/>
      <c r="DN39" s="105" t="s">
        <v>244</v>
      </c>
      <c r="DO39" s="106"/>
      <c r="DP39" s="105" t="s">
        <v>260</v>
      </c>
      <c r="DQ39" s="106"/>
      <c r="DR39" s="105" t="s">
        <v>261</v>
      </c>
      <c r="DS39" s="106"/>
      <c r="DT39" s="105" t="s">
        <v>244</v>
      </c>
      <c r="DU39" s="106"/>
      <c r="DV39" s="105" t="s">
        <v>244</v>
      </c>
      <c r="DW39" s="106"/>
      <c r="DX39" s="105" t="s">
        <v>244</v>
      </c>
      <c r="DY39" s="106"/>
      <c r="DZ39" s="105" t="s">
        <v>244</v>
      </c>
      <c r="EA39" s="106"/>
      <c r="EB39" s="105" t="s">
        <v>244</v>
      </c>
      <c r="EC39" s="106"/>
      <c r="ED39" s="105" t="s">
        <v>244</v>
      </c>
      <c r="EE39" s="106"/>
      <c r="EF39" s="105"/>
      <c r="EG39" s="106"/>
      <c r="EH39" s="105" t="s">
        <v>262</v>
      </c>
      <c r="EI39" s="106"/>
      <c r="EJ39" s="105" t="s">
        <v>244</v>
      </c>
      <c r="EK39" s="106"/>
      <c r="EL39" s="105" t="s">
        <v>244</v>
      </c>
      <c r="EM39" s="106"/>
      <c r="EN39" s="105" t="s">
        <v>263</v>
      </c>
      <c r="EO39" s="106"/>
      <c r="EP39" s="105" t="s">
        <v>244</v>
      </c>
      <c r="EQ39" s="106"/>
      <c r="ER39" s="105" t="s">
        <v>244</v>
      </c>
      <c r="ES39" s="106"/>
      <c r="ET39" s="105" t="s">
        <v>244</v>
      </c>
      <c r="EU39" s="106"/>
      <c r="EV39" s="105" t="s">
        <v>264</v>
      </c>
      <c r="EW39" s="106"/>
      <c r="EX39" s="105" t="s">
        <v>244</v>
      </c>
      <c r="EY39" s="106"/>
      <c r="EZ39" s="105" t="s">
        <v>244</v>
      </c>
      <c r="FA39" s="106"/>
      <c r="FB39" s="105" t="s">
        <v>244</v>
      </c>
      <c r="FC39" s="106"/>
      <c r="FD39" s="105" t="s">
        <v>244</v>
      </c>
      <c r="FE39" s="106"/>
      <c r="FF39" s="105" t="s">
        <v>244</v>
      </c>
      <c r="FG39" s="106"/>
      <c r="FH39" s="105" t="s">
        <v>244</v>
      </c>
      <c r="FI39" s="106"/>
      <c r="FJ39" s="105" t="s">
        <v>244</v>
      </c>
      <c r="FK39" s="106"/>
      <c r="FL39" s="105" t="s">
        <v>265</v>
      </c>
      <c r="FM39" s="106"/>
      <c r="FN39" s="105" t="s">
        <v>244</v>
      </c>
      <c r="FO39" s="106"/>
      <c r="FP39" s="105" t="s">
        <v>244</v>
      </c>
      <c r="FQ39" s="106"/>
      <c r="FR39" s="105" t="s">
        <v>266</v>
      </c>
      <c r="FS39" s="106"/>
      <c r="FT39" s="105" t="s">
        <v>244</v>
      </c>
      <c r="FU39" s="106"/>
      <c r="FV39" s="105" t="s">
        <v>244</v>
      </c>
      <c r="FW39" s="106"/>
      <c r="FX39" s="105" t="s">
        <v>244</v>
      </c>
      <c r="FY39" s="106"/>
      <c r="FZ39" s="105" t="s">
        <v>244</v>
      </c>
      <c r="GA39" s="106"/>
      <c r="GB39" s="105" t="s">
        <v>244</v>
      </c>
      <c r="GC39" s="106"/>
      <c r="GD39" s="105" t="s">
        <v>244</v>
      </c>
      <c r="GE39" s="106"/>
      <c r="GF39" s="105" t="s">
        <v>267</v>
      </c>
      <c r="GG39" s="106"/>
      <c r="GH39" s="105" t="s">
        <v>244</v>
      </c>
      <c r="GI39" s="106"/>
      <c r="GJ39" s="105" t="s">
        <v>244</v>
      </c>
      <c r="GK39" s="106"/>
      <c r="GL39" s="105" t="s">
        <v>244</v>
      </c>
      <c r="GM39" s="106"/>
      <c r="GN39" s="105" t="s">
        <v>244</v>
      </c>
      <c r="GO39" s="106"/>
      <c r="GP39" s="105" t="s">
        <v>244</v>
      </c>
      <c r="GQ39" s="106"/>
      <c r="GR39" s="105" t="s">
        <v>244</v>
      </c>
      <c r="GS39" s="106"/>
      <c r="GT39" s="105" t="s">
        <v>244</v>
      </c>
      <c r="GU39" s="106"/>
      <c r="GV39" s="105" t="s">
        <v>260</v>
      </c>
      <c r="GW39" s="106"/>
      <c r="GX39" s="105" t="s">
        <v>244</v>
      </c>
      <c r="GY39" s="106"/>
      <c r="GZ39" s="105" t="s">
        <v>244</v>
      </c>
      <c r="HA39" s="106"/>
    </row>
    <row r="40" spans="1:209" ht="16.5" customHeight="1" x14ac:dyDescent="0.3">
      <c r="A40" s="131"/>
      <c r="B40" s="132"/>
      <c r="C40" s="67" t="s">
        <v>225</v>
      </c>
      <c r="D40" s="103" t="s">
        <v>268</v>
      </c>
      <c r="E40" s="104"/>
      <c r="F40" s="103" t="s">
        <v>268</v>
      </c>
      <c r="G40" s="104"/>
      <c r="H40" s="108" t="s">
        <v>268</v>
      </c>
      <c r="I40" s="109"/>
      <c r="J40" s="108" t="s">
        <v>268</v>
      </c>
      <c r="K40" s="109"/>
      <c r="L40" s="108" t="s">
        <v>269</v>
      </c>
      <c r="M40" s="109"/>
      <c r="N40" s="108" t="s">
        <v>268</v>
      </c>
      <c r="O40" s="109"/>
      <c r="P40" s="108" t="s">
        <v>268</v>
      </c>
      <c r="Q40" s="109"/>
      <c r="R40" s="108" t="s">
        <v>270</v>
      </c>
      <c r="S40" s="109"/>
      <c r="T40" s="108" t="s">
        <v>268</v>
      </c>
      <c r="U40" s="109"/>
      <c r="V40" s="108" t="s">
        <v>268</v>
      </c>
      <c r="W40" s="109"/>
      <c r="X40" s="108" t="s">
        <v>268</v>
      </c>
      <c r="Y40" s="109"/>
      <c r="Z40" s="108" t="s">
        <v>268</v>
      </c>
      <c r="AA40" s="109"/>
      <c r="AB40" s="108" t="s">
        <v>271</v>
      </c>
      <c r="AC40" s="109"/>
      <c r="AD40" s="108" t="s">
        <v>268</v>
      </c>
      <c r="AE40" s="109"/>
      <c r="AF40" s="108" t="s">
        <v>268</v>
      </c>
      <c r="AG40" s="109"/>
      <c r="AH40" s="108" t="s">
        <v>272</v>
      </c>
      <c r="AI40" s="109"/>
      <c r="AJ40" s="108" t="s">
        <v>268</v>
      </c>
      <c r="AK40" s="109"/>
      <c r="AL40" s="108" t="s">
        <v>273</v>
      </c>
      <c r="AM40" s="109"/>
      <c r="AN40" s="108" t="s">
        <v>274</v>
      </c>
      <c r="AO40" s="109"/>
      <c r="AP40" s="108" t="s">
        <v>268</v>
      </c>
      <c r="AQ40" s="109"/>
      <c r="AR40" s="108" t="s">
        <v>275</v>
      </c>
      <c r="AS40" s="109"/>
      <c r="AT40" s="108" t="s">
        <v>268</v>
      </c>
      <c r="AU40" s="109"/>
      <c r="AV40" s="108" t="s">
        <v>268</v>
      </c>
      <c r="AW40" s="109"/>
      <c r="AX40" s="108" t="s">
        <v>276</v>
      </c>
      <c r="AY40" s="109"/>
      <c r="AZ40" s="108" t="s">
        <v>268</v>
      </c>
      <c r="BA40" s="109"/>
      <c r="BB40" s="108" t="s">
        <v>268</v>
      </c>
      <c r="BC40" s="109"/>
      <c r="BD40" s="108" t="s">
        <v>277</v>
      </c>
      <c r="BE40" s="109"/>
      <c r="BF40" s="108" t="s">
        <v>268</v>
      </c>
      <c r="BG40" s="109"/>
      <c r="BH40" s="108" t="s">
        <v>268</v>
      </c>
      <c r="BI40" s="109"/>
      <c r="BJ40" s="108" t="s">
        <v>268</v>
      </c>
      <c r="BK40" s="109"/>
      <c r="BL40" s="108" t="s">
        <v>278</v>
      </c>
      <c r="BM40" s="109"/>
      <c r="BN40" s="108" t="s">
        <v>268</v>
      </c>
      <c r="BO40" s="109"/>
      <c r="BP40" s="108" t="s">
        <v>268</v>
      </c>
      <c r="BQ40" s="109"/>
      <c r="BR40" s="108" t="s">
        <v>279</v>
      </c>
      <c r="BS40" s="109"/>
      <c r="BT40" s="108" t="s">
        <v>280</v>
      </c>
      <c r="BU40" s="109"/>
      <c r="BV40" s="108" t="s">
        <v>281</v>
      </c>
      <c r="BW40" s="109"/>
      <c r="BX40" s="108" t="s">
        <v>268</v>
      </c>
      <c r="BY40" s="109"/>
      <c r="BZ40" s="108" t="s">
        <v>282</v>
      </c>
      <c r="CA40" s="109"/>
      <c r="CB40" s="108" t="s">
        <v>283</v>
      </c>
      <c r="CC40" s="109"/>
      <c r="CD40" s="108" t="s">
        <v>268</v>
      </c>
      <c r="CE40" s="109"/>
      <c r="CF40" s="108" t="s">
        <v>284</v>
      </c>
      <c r="CG40" s="109"/>
      <c r="CH40" s="108" t="s">
        <v>268</v>
      </c>
      <c r="CI40" s="109"/>
      <c r="CJ40" s="108" t="s">
        <v>285</v>
      </c>
      <c r="CK40" s="109"/>
      <c r="CL40" s="108" t="s">
        <v>268</v>
      </c>
      <c r="CM40" s="109"/>
      <c r="CN40" s="108" t="s">
        <v>268</v>
      </c>
      <c r="CO40" s="109"/>
      <c r="CP40" s="108" t="s">
        <v>268</v>
      </c>
      <c r="CQ40" s="109"/>
      <c r="CR40" s="108" t="s">
        <v>286</v>
      </c>
      <c r="CS40" s="109"/>
      <c r="CT40" s="108" t="s">
        <v>287</v>
      </c>
      <c r="CU40" s="109"/>
      <c r="CV40" s="108" t="s">
        <v>288</v>
      </c>
      <c r="CW40" s="109"/>
      <c r="CX40" s="108" t="s">
        <v>289</v>
      </c>
      <c r="CY40" s="109"/>
      <c r="CZ40" s="108" t="s">
        <v>290</v>
      </c>
      <c r="DA40" s="109"/>
      <c r="DB40" s="108" t="s">
        <v>268</v>
      </c>
      <c r="DC40" s="109"/>
      <c r="DD40" s="108" t="s">
        <v>291</v>
      </c>
      <c r="DE40" s="109"/>
      <c r="DF40" s="108" t="s">
        <v>268</v>
      </c>
      <c r="DG40" s="109"/>
      <c r="DH40" s="108" t="s">
        <v>292</v>
      </c>
      <c r="DI40" s="109"/>
      <c r="DJ40" s="108" t="s">
        <v>268</v>
      </c>
      <c r="DK40" s="109"/>
      <c r="DL40" s="108" t="s">
        <v>268</v>
      </c>
      <c r="DM40" s="109"/>
      <c r="DN40" s="108" t="s">
        <v>268</v>
      </c>
      <c r="DO40" s="109"/>
      <c r="DP40" s="108" t="s">
        <v>293</v>
      </c>
      <c r="DQ40" s="109"/>
      <c r="DR40" s="108" t="s">
        <v>294</v>
      </c>
      <c r="DS40" s="109"/>
      <c r="DT40" s="108" t="s">
        <v>268</v>
      </c>
      <c r="DU40" s="109"/>
      <c r="DV40" s="108" t="s">
        <v>295</v>
      </c>
      <c r="DW40" s="109"/>
      <c r="DX40" s="108" t="s">
        <v>268</v>
      </c>
      <c r="DY40" s="109"/>
      <c r="DZ40" s="108" t="s">
        <v>268</v>
      </c>
      <c r="EA40" s="109"/>
      <c r="EB40" s="108" t="s">
        <v>296</v>
      </c>
      <c r="EC40" s="109"/>
      <c r="ED40" s="108" t="s">
        <v>296</v>
      </c>
      <c r="EE40" s="109"/>
      <c r="EF40" s="108"/>
      <c r="EG40" s="109"/>
      <c r="EH40" s="108" t="s">
        <v>268</v>
      </c>
      <c r="EI40" s="109"/>
      <c r="EJ40" s="108" t="s">
        <v>295</v>
      </c>
      <c r="EK40" s="109"/>
      <c r="EL40" s="108" t="s">
        <v>268</v>
      </c>
      <c r="EM40" s="109"/>
      <c r="EN40" s="108" t="s">
        <v>288</v>
      </c>
      <c r="EO40" s="109"/>
      <c r="EP40" s="108" t="s">
        <v>268</v>
      </c>
      <c r="EQ40" s="109"/>
      <c r="ER40" s="108" t="s">
        <v>297</v>
      </c>
      <c r="ES40" s="109"/>
      <c r="ET40" s="108" t="s">
        <v>298</v>
      </c>
      <c r="EU40" s="109"/>
      <c r="EV40" s="108" t="s">
        <v>299</v>
      </c>
      <c r="EW40" s="109"/>
      <c r="EX40" s="108" t="s">
        <v>268</v>
      </c>
      <c r="EY40" s="109"/>
      <c r="EZ40" s="108" t="s">
        <v>268</v>
      </c>
      <c r="FA40" s="109"/>
      <c r="FB40" s="108" t="s">
        <v>300</v>
      </c>
      <c r="FC40" s="109"/>
      <c r="FD40" s="108" t="s">
        <v>268</v>
      </c>
      <c r="FE40" s="109"/>
      <c r="FF40" s="108" t="s">
        <v>301</v>
      </c>
      <c r="FG40" s="109"/>
      <c r="FH40" s="108" t="s">
        <v>268</v>
      </c>
      <c r="FI40" s="109"/>
      <c r="FJ40" s="108" t="s">
        <v>268</v>
      </c>
      <c r="FK40" s="109"/>
      <c r="FL40" s="108" t="s">
        <v>302</v>
      </c>
      <c r="FM40" s="109"/>
      <c r="FN40" s="108" t="s">
        <v>303</v>
      </c>
      <c r="FO40" s="109"/>
      <c r="FP40" s="105" t="s">
        <v>268</v>
      </c>
      <c r="FQ40" s="106"/>
      <c r="FR40" s="108" t="s">
        <v>292</v>
      </c>
      <c r="FS40" s="109"/>
      <c r="FT40" s="108" t="s">
        <v>268</v>
      </c>
      <c r="FU40" s="109"/>
      <c r="FV40" s="108" t="s">
        <v>304</v>
      </c>
      <c r="FW40" s="109"/>
      <c r="FX40" s="108" t="s">
        <v>268</v>
      </c>
      <c r="FY40" s="109"/>
      <c r="FZ40" s="108" t="s">
        <v>297</v>
      </c>
      <c r="GA40" s="109"/>
      <c r="GB40" s="108" t="s">
        <v>298</v>
      </c>
      <c r="GC40" s="109"/>
      <c r="GD40" s="108" t="s">
        <v>292</v>
      </c>
      <c r="GE40" s="109"/>
      <c r="GF40" s="108" t="s">
        <v>305</v>
      </c>
      <c r="GG40" s="109"/>
      <c r="GH40" s="108" t="s">
        <v>289</v>
      </c>
      <c r="GI40" s="109"/>
      <c r="GJ40" s="108" t="s">
        <v>268</v>
      </c>
      <c r="GK40" s="109"/>
      <c r="GL40" s="108" t="s">
        <v>268</v>
      </c>
      <c r="GM40" s="109"/>
      <c r="GN40" s="108" t="s">
        <v>268</v>
      </c>
      <c r="GO40" s="109"/>
      <c r="GP40" s="108" t="s">
        <v>268</v>
      </c>
      <c r="GQ40" s="109"/>
      <c r="GR40" s="108" t="s">
        <v>289</v>
      </c>
      <c r="GS40" s="109"/>
      <c r="GT40" s="108" t="s">
        <v>306</v>
      </c>
      <c r="GU40" s="109"/>
      <c r="GV40" s="108" t="s">
        <v>293</v>
      </c>
      <c r="GW40" s="109"/>
      <c r="GX40" s="108" t="s">
        <v>268</v>
      </c>
      <c r="GY40" s="109"/>
      <c r="GZ40" s="108" t="s">
        <v>268</v>
      </c>
      <c r="HA40" s="109"/>
    </row>
    <row r="41" spans="1:209" x14ac:dyDescent="0.3">
      <c r="A41" s="131"/>
      <c r="B41" s="132"/>
      <c r="C41" s="67" t="s">
        <v>226</v>
      </c>
      <c r="D41" s="110" t="s">
        <v>307</v>
      </c>
      <c r="E41" s="107"/>
      <c r="F41" s="103" t="s">
        <v>307</v>
      </c>
      <c r="G41" s="104"/>
      <c r="H41" s="105" t="s">
        <v>307</v>
      </c>
      <c r="I41" s="106"/>
      <c r="J41" s="105" t="s">
        <v>307</v>
      </c>
      <c r="K41" s="106"/>
      <c r="L41" s="105" t="s">
        <v>307</v>
      </c>
      <c r="M41" s="106"/>
      <c r="N41" s="105" t="s">
        <v>307</v>
      </c>
      <c r="O41" s="106"/>
      <c r="P41" s="105" t="s">
        <v>307</v>
      </c>
      <c r="Q41" s="106"/>
      <c r="R41" s="105" t="s">
        <v>307</v>
      </c>
      <c r="S41" s="106"/>
      <c r="T41" s="105" t="s">
        <v>307</v>
      </c>
      <c r="U41" s="106"/>
      <c r="V41" s="105" t="s">
        <v>307</v>
      </c>
      <c r="W41" s="106"/>
      <c r="X41" s="105" t="s">
        <v>307</v>
      </c>
      <c r="Y41" s="106"/>
      <c r="Z41" s="105" t="s">
        <v>307</v>
      </c>
      <c r="AA41" s="106"/>
      <c r="AB41" s="105" t="s">
        <v>307</v>
      </c>
      <c r="AC41" s="106"/>
      <c r="AD41" s="105" t="s">
        <v>307</v>
      </c>
      <c r="AE41" s="106"/>
      <c r="AF41" s="105" t="s">
        <v>307</v>
      </c>
      <c r="AG41" s="106"/>
      <c r="AH41" s="105" t="s">
        <v>307</v>
      </c>
      <c r="AI41" s="106"/>
      <c r="AJ41" s="105" t="s">
        <v>307</v>
      </c>
      <c r="AK41" s="106"/>
      <c r="AL41" s="105" t="s">
        <v>307</v>
      </c>
      <c r="AM41" s="106"/>
      <c r="AN41" s="105" t="s">
        <v>307</v>
      </c>
      <c r="AO41" s="106"/>
      <c r="AP41" s="105" t="s">
        <v>307</v>
      </c>
      <c r="AQ41" s="106"/>
      <c r="AR41" s="105" t="s">
        <v>307</v>
      </c>
      <c r="AS41" s="106"/>
      <c r="AT41" s="105" t="s">
        <v>307</v>
      </c>
      <c r="AU41" s="106"/>
      <c r="AV41" s="105" t="s">
        <v>307</v>
      </c>
      <c r="AW41" s="106"/>
      <c r="AX41" s="105" t="s">
        <v>307</v>
      </c>
      <c r="AY41" s="106"/>
      <c r="AZ41" s="105" t="s">
        <v>307</v>
      </c>
      <c r="BA41" s="106"/>
      <c r="BB41" s="105" t="s">
        <v>307</v>
      </c>
      <c r="BC41" s="106"/>
      <c r="BD41" s="105" t="s">
        <v>307</v>
      </c>
      <c r="BE41" s="106"/>
      <c r="BF41" s="105" t="s">
        <v>307</v>
      </c>
      <c r="BG41" s="106"/>
      <c r="BH41" s="105" t="s">
        <v>307</v>
      </c>
      <c r="BI41" s="106"/>
      <c r="BJ41" s="105" t="s">
        <v>307</v>
      </c>
      <c r="BK41" s="106"/>
      <c r="BL41" s="105" t="s">
        <v>307</v>
      </c>
      <c r="BM41" s="106"/>
      <c r="BN41" s="105" t="s">
        <v>307</v>
      </c>
      <c r="BO41" s="106"/>
      <c r="BP41" s="105" t="s">
        <v>307</v>
      </c>
      <c r="BQ41" s="106"/>
      <c r="BR41" s="105" t="s">
        <v>307</v>
      </c>
      <c r="BS41" s="106"/>
      <c r="BT41" s="105" t="s">
        <v>307</v>
      </c>
      <c r="BU41" s="106"/>
      <c r="BV41" s="105" t="s">
        <v>307</v>
      </c>
      <c r="BW41" s="106"/>
      <c r="BX41" s="105" t="s">
        <v>307</v>
      </c>
      <c r="BY41" s="106"/>
      <c r="BZ41" s="105" t="s">
        <v>307</v>
      </c>
      <c r="CA41" s="106"/>
      <c r="CB41" s="105" t="s">
        <v>307</v>
      </c>
      <c r="CC41" s="106"/>
      <c r="CD41" s="105" t="s">
        <v>307</v>
      </c>
      <c r="CE41" s="106"/>
      <c r="CF41" s="105" t="s">
        <v>307</v>
      </c>
      <c r="CG41" s="106"/>
      <c r="CH41" s="105" t="s">
        <v>307</v>
      </c>
      <c r="CI41" s="106"/>
      <c r="CJ41" s="105" t="s">
        <v>307</v>
      </c>
      <c r="CK41" s="106"/>
      <c r="CL41" s="105" t="s">
        <v>307</v>
      </c>
      <c r="CM41" s="106"/>
      <c r="CN41" s="105" t="s">
        <v>307</v>
      </c>
      <c r="CO41" s="106"/>
      <c r="CP41" s="105" t="s">
        <v>307</v>
      </c>
      <c r="CQ41" s="106"/>
      <c r="CR41" s="105" t="s">
        <v>307</v>
      </c>
      <c r="CS41" s="106"/>
      <c r="CT41" s="105" t="s">
        <v>307</v>
      </c>
      <c r="CU41" s="106"/>
      <c r="CV41" s="105" t="s">
        <v>307</v>
      </c>
      <c r="CW41" s="106"/>
      <c r="CX41" s="105" t="s">
        <v>307</v>
      </c>
      <c r="CY41" s="106"/>
      <c r="CZ41" s="105" t="s">
        <v>307</v>
      </c>
      <c r="DA41" s="106"/>
      <c r="DB41" s="105" t="s">
        <v>307</v>
      </c>
      <c r="DC41" s="106"/>
      <c r="DD41" s="105" t="s">
        <v>307</v>
      </c>
      <c r="DE41" s="106"/>
      <c r="DF41" s="105" t="s">
        <v>307</v>
      </c>
      <c r="DG41" s="106"/>
      <c r="DH41" s="105" t="s">
        <v>307</v>
      </c>
      <c r="DI41" s="106"/>
      <c r="DJ41" s="105" t="s">
        <v>307</v>
      </c>
      <c r="DK41" s="106"/>
      <c r="DL41" s="105" t="s">
        <v>307</v>
      </c>
      <c r="DM41" s="106"/>
      <c r="DN41" s="105" t="s">
        <v>307</v>
      </c>
      <c r="DO41" s="106"/>
      <c r="DP41" s="105" t="s">
        <v>307</v>
      </c>
      <c r="DQ41" s="106"/>
      <c r="DR41" s="105" t="s">
        <v>307</v>
      </c>
      <c r="DS41" s="106"/>
      <c r="DT41" s="105" t="s">
        <v>307</v>
      </c>
      <c r="DU41" s="106"/>
      <c r="DV41" s="105" t="s">
        <v>307</v>
      </c>
      <c r="DW41" s="106"/>
      <c r="DX41" s="105" t="s">
        <v>307</v>
      </c>
      <c r="DY41" s="106"/>
      <c r="DZ41" s="105" t="s">
        <v>307</v>
      </c>
      <c r="EA41" s="106"/>
      <c r="EB41" s="105" t="s">
        <v>307</v>
      </c>
      <c r="EC41" s="106"/>
      <c r="ED41" s="105" t="s">
        <v>307</v>
      </c>
      <c r="EE41" s="106"/>
      <c r="EF41" s="105"/>
      <c r="EG41" s="106"/>
      <c r="EH41" s="105" t="s">
        <v>307</v>
      </c>
      <c r="EI41" s="106"/>
      <c r="EJ41" s="105" t="s">
        <v>307</v>
      </c>
      <c r="EK41" s="106"/>
      <c r="EL41" s="105" t="s">
        <v>307</v>
      </c>
      <c r="EM41" s="106"/>
      <c r="EN41" s="105" t="s">
        <v>307</v>
      </c>
      <c r="EO41" s="106"/>
      <c r="EP41" s="105" t="s">
        <v>307</v>
      </c>
      <c r="EQ41" s="106"/>
      <c r="ER41" s="105" t="s">
        <v>307</v>
      </c>
      <c r="ES41" s="106"/>
      <c r="ET41" s="105" t="s">
        <v>307</v>
      </c>
      <c r="EU41" s="106"/>
      <c r="EV41" s="105" t="s">
        <v>307</v>
      </c>
      <c r="EW41" s="106"/>
      <c r="EX41" s="105" t="s">
        <v>307</v>
      </c>
      <c r="EY41" s="106"/>
      <c r="EZ41" s="105" t="s">
        <v>307</v>
      </c>
      <c r="FA41" s="106"/>
      <c r="FB41" s="105" t="s">
        <v>307</v>
      </c>
      <c r="FC41" s="106"/>
      <c r="FD41" s="105" t="s">
        <v>307</v>
      </c>
      <c r="FE41" s="106"/>
      <c r="FF41" s="105" t="s">
        <v>307</v>
      </c>
      <c r="FG41" s="106"/>
      <c r="FH41" s="105" t="s">
        <v>307</v>
      </c>
      <c r="FI41" s="106"/>
      <c r="FJ41" s="105" t="s">
        <v>307</v>
      </c>
      <c r="FK41" s="106"/>
      <c r="FL41" s="105" t="s">
        <v>307</v>
      </c>
      <c r="FM41" s="106"/>
      <c r="FN41" s="105" t="s">
        <v>307</v>
      </c>
      <c r="FO41" s="106"/>
      <c r="FP41" s="105" t="s">
        <v>307</v>
      </c>
      <c r="FQ41" s="106"/>
      <c r="FR41" s="105" t="s">
        <v>307</v>
      </c>
      <c r="FS41" s="106"/>
      <c r="FT41" s="105" t="s">
        <v>307</v>
      </c>
      <c r="FU41" s="106"/>
      <c r="FV41" s="105" t="s">
        <v>307</v>
      </c>
      <c r="FW41" s="106"/>
      <c r="FX41" s="105" t="s">
        <v>307</v>
      </c>
      <c r="FY41" s="106"/>
      <c r="FZ41" s="105" t="s">
        <v>307</v>
      </c>
      <c r="GA41" s="106"/>
      <c r="GB41" s="105" t="s">
        <v>307</v>
      </c>
      <c r="GC41" s="106"/>
      <c r="GD41" s="105" t="s">
        <v>307</v>
      </c>
      <c r="GE41" s="106"/>
      <c r="GF41" s="105" t="s">
        <v>307</v>
      </c>
      <c r="GG41" s="106"/>
      <c r="GH41" s="105" t="s">
        <v>307</v>
      </c>
      <c r="GI41" s="106"/>
      <c r="GJ41" s="105" t="s">
        <v>307</v>
      </c>
      <c r="GK41" s="106"/>
      <c r="GL41" s="105" t="s">
        <v>307</v>
      </c>
      <c r="GM41" s="106"/>
      <c r="GN41" s="105" t="s">
        <v>307</v>
      </c>
      <c r="GO41" s="106"/>
      <c r="GP41" s="105" t="s">
        <v>307</v>
      </c>
      <c r="GQ41" s="106"/>
      <c r="GR41" s="105" t="s">
        <v>307</v>
      </c>
      <c r="GS41" s="106"/>
      <c r="GT41" s="105" t="s">
        <v>307</v>
      </c>
      <c r="GU41" s="106"/>
      <c r="GV41" s="105" t="s">
        <v>307</v>
      </c>
      <c r="GW41" s="106"/>
      <c r="GX41" s="105" t="s">
        <v>307</v>
      </c>
      <c r="GY41" s="106"/>
      <c r="GZ41" s="105" t="s">
        <v>307</v>
      </c>
      <c r="HA41" s="106"/>
    </row>
    <row r="42" spans="1:209" x14ac:dyDescent="0.3">
      <c r="A42" s="131"/>
      <c r="B42" s="132"/>
      <c r="C42" s="67" t="s">
        <v>227</v>
      </c>
      <c r="D42" s="110" t="s">
        <v>307</v>
      </c>
      <c r="E42" s="107"/>
      <c r="F42" s="103" t="s">
        <v>307</v>
      </c>
      <c r="G42" s="104"/>
      <c r="H42" s="105" t="s">
        <v>307</v>
      </c>
      <c r="I42" s="106"/>
      <c r="J42" s="105" t="s">
        <v>307</v>
      </c>
      <c r="K42" s="106"/>
      <c r="L42" s="105" t="s">
        <v>308</v>
      </c>
      <c r="M42" s="106"/>
      <c r="N42" s="105" t="s">
        <v>307</v>
      </c>
      <c r="O42" s="106"/>
      <c r="P42" s="105" t="s">
        <v>307</v>
      </c>
      <c r="Q42" s="106"/>
      <c r="R42" s="105" t="s">
        <v>307</v>
      </c>
      <c r="S42" s="106"/>
      <c r="T42" s="105" t="s">
        <v>307</v>
      </c>
      <c r="U42" s="106"/>
      <c r="V42" s="105" t="s">
        <v>307</v>
      </c>
      <c r="W42" s="106"/>
      <c r="X42" s="105" t="s">
        <v>307</v>
      </c>
      <c r="Y42" s="106"/>
      <c r="Z42" s="105" t="s">
        <v>307</v>
      </c>
      <c r="AA42" s="106"/>
      <c r="AB42" s="105" t="s">
        <v>309</v>
      </c>
      <c r="AC42" s="106"/>
      <c r="AD42" s="105" t="s">
        <v>307</v>
      </c>
      <c r="AE42" s="106"/>
      <c r="AF42" s="105" t="s">
        <v>307</v>
      </c>
      <c r="AG42" s="106"/>
      <c r="AH42" s="105" t="s">
        <v>307</v>
      </c>
      <c r="AI42" s="106"/>
      <c r="AJ42" s="105" t="s">
        <v>307</v>
      </c>
      <c r="AK42" s="106"/>
      <c r="AL42" s="105" t="s">
        <v>307</v>
      </c>
      <c r="AM42" s="106"/>
      <c r="AN42" s="105" t="s">
        <v>307</v>
      </c>
      <c r="AO42" s="106"/>
      <c r="AP42" s="105" t="s">
        <v>307</v>
      </c>
      <c r="AQ42" s="106"/>
      <c r="AR42" s="105" t="s">
        <v>307</v>
      </c>
      <c r="AS42" s="106"/>
      <c r="AT42" s="105" t="s">
        <v>307</v>
      </c>
      <c r="AU42" s="106"/>
      <c r="AV42" s="105" t="s">
        <v>307</v>
      </c>
      <c r="AW42" s="106"/>
      <c r="AX42" s="105" t="s">
        <v>307</v>
      </c>
      <c r="AY42" s="106"/>
      <c r="AZ42" s="105" t="s">
        <v>307</v>
      </c>
      <c r="BA42" s="106"/>
      <c r="BB42" s="105" t="s">
        <v>307</v>
      </c>
      <c r="BC42" s="106"/>
      <c r="BD42" s="105" t="s">
        <v>307</v>
      </c>
      <c r="BE42" s="106"/>
      <c r="BF42" s="105" t="s">
        <v>307</v>
      </c>
      <c r="BG42" s="106"/>
      <c r="BH42" s="105" t="s">
        <v>307</v>
      </c>
      <c r="BI42" s="106"/>
      <c r="BJ42" s="105" t="s">
        <v>307</v>
      </c>
      <c r="BK42" s="106"/>
      <c r="BL42" s="105" t="s">
        <v>310</v>
      </c>
      <c r="BM42" s="106"/>
      <c r="BN42" s="105" t="s">
        <v>307</v>
      </c>
      <c r="BO42" s="106"/>
      <c r="BP42" s="105" t="s">
        <v>307</v>
      </c>
      <c r="BQ42" s="106"/>
      <c r="BR42" s="105" t="s">
        <v>307</v>
      </c>
      <c r="BS42" s="106"/>
      <c r="BT42" s="105" t="s">
        <v>307</v>
      </c>
      <c r="BU42" s="106"/>
      <c r="BV42" s="105" t="s">
        <v>307</v>
      </c>
      <c r="BW42" s="106"/>
      <c r="BX42" s="105" t="s">
        <v>307</v>
      </c>
      <c r="BY42" s="106"/>
      <c r="BZ42" s="105" t="s">
        <v>307</v>
      </c>
      <c r="CA42" s="106"/>
      <c r="CB42" s="105" t="s">
        <v>307</v>
      </c>
      <c r="CC42" s="106"/>
      <c r="CD42" s="105" t="s">
        <v>307</v>
      </c>
      <c r="CE42" s="106"/>
      <c r="CF42" s="105" t="s">
        <v>307</v>
      </c>
      <c r="CG42" s="106"/>
      <c r="CH42" s="105" t="s">
        <v>307</v>
      </c>
      <c r="CI42" s="106"/>
      <c r="CJ42" s="105" t="s">
        <v>307</v>
      </c>
      <c r="CK42" s="106"/>
      <c r="CL42" s="105" t="s">
        <v>307</v>
      </c>
      <c r="CM42" s="106"/>
      <c r="CN42" s="105" t="s">
        <v>307</v>
      </c>
      <c r="CO42" s="106"/>
      <c r="CP42" s="105" t="s">
        <v>307</v>
      </c>
      <c r="CQ42" s="106"/>
      <c r="CR42" s="105" t="s">
        <v>307</v>
      </c>
      <c r="CS42" s="106"/>
      <c r="CT42" s="105" t="s">
        <v>307</v>
      </c>
      <c r="CU42" s="106"/>
      <c r="CV42" s="105" t="s">
        <v>307</v>
      </c>
      <c r="CW42" s="106"/>
      <c r="CX42" s="105" t="s">
        <v>307</v>
      </c>
      <c r="CY42" s="106"/>
      <c r="CZ42" s="105" t="s">
        <v>307</v>
      </c>
      <c r="DA42" s="106"/>
      <c r="DB42" s="105" t="s">
        <v>307</v>
      </c>
      <c r="DC42" s="106"/>
      <c r="DD42" s="105" t="s">
        <v>307</v>
      </c>
      <c r="DE42" s="106"/>
      <c r="DF42" s="105" t="s">
        <v>307</v>
      </c>
      <c r="DG42" s="106"/>
      <c r="DH42" s="105" t="s">
        <v>311</v>
      </c>
      <c r="DI42" s="106"/>
      <c r="DJ42" s="105" t="s">
        <v>307</v>
      </c>
      <c r="DK42" s="106"/>
      <c r="DL42" s="105" t="s">
        <v>307</v>
      </c>
      <c r="DM42" s="106"/>
      <c r="DN42" s="105" t="s">
        <v>307</v>
      </c>
      <c r="DO42" s="106"/>
      <c r="DP42" s="105" t="s">
        <v>307</v>
      </c>
      <c r="DQ42" s="106"/>
      <c r="DR42" s="105" t="s">
        <v>307</v>
      </c>
      <c r="DS42" s="106"/>
      <c r="DT42" s="105" t="s">
        <v>307</v>
      </c>
      <c r="DU42" s="106"/>
      <c r="DV42" s="105" t="s">
        <v>307</v>
      </c>
      <c r="DW42" s="106"/>
      <c r="DX42" s="105" t="s">
        <v>307</v>
      </c>
      <c r="DY42" s="106"/>
      <c r="DZ42" s="105" t="s">
        <v>307</v>
      </c>
      <c r="EA42" s="106"/>
      <c r="EB42" s="105" t="s">
        <v>307</v>
      </c>
      <c r="EC42" s="106"/>
      <c r="ED42" s="105" t="s">
        <v>307</v>
      </c>
      <c r="EE42" s="106"/>
      <c r="EF42" s="105"/>
      <c r="EG42" s="106"/>
      <c r="EH42" s="105" t="s">
        <v>311</v>
      </c>
      <c r="EI42" s="106"/>
      <c r="EJ42" s="105" t="s">
        <v>307</v>
      </c>
      <c r="EK42" s="106"/>
      <c r="EL42" s="105" t="s">
        <v>307</v>
      </c>
      <c r="EM42" s="106"/>
      <c r="EN42" s="105" t="s">
        <v>312</v>
      </c>
      <c r="EO42" s="106"/>
      <c r="EP42" s="105" t="s">
        <v>307</v>
      </c>
      <c r="EQ42" s="106"/>
      <c r="ER42" s="105" t="s">
        <v>307</v>
      </c>
      <c r="ES42" s="106"/>
      <c r="ET42" s="105" t="s">
        <v>307</v>
      </c>
      <c r="EU42" s="106"/>
      <c r="EV42" s="105" t="s">
        <v>307</v>
      </c>
      <c r="EW42" s="106"/>
      <c r="EX42" s="105" t="s">
        <v>307</v>
      </c>
      <c r="EY42" s="106"/>
      <c r="EZ42" s="105" t="s">
        <v>307</v>
      </c>
      <c r="FA42" s="106"/>
      <c r="FB42" s="105" t="s">
        <v>307</v>
      </c>
      <c r="FC42" s="106"/>
      <c r="FD42" s="105" t="s">
        <v>307</v>
      </c>
      <c r="FE42" s="106"/>
      <c r="FF42" s="105" t="s">
        <v>307</v>
      </c>
      <c r="FG42" s="106"/>
      <c r="FH42" s="105" t="s">
        <v>307</v>
      </c>
      <c r="FI42" s="106"/>
      <c r="FJ42" s="105" t="s">
        <v>307</v>
      </c>
      <c r="FK42" s="106"/>
      <c r="FL42" s="105" t="s">
        <v>307</v>
      </c>
      <c r="FM42" s="106"/>
      <c r="FN42" s="105" t="s">
        <v>307</v>
      </c>
      <c r="FO42" s="106"/>
      <c r="FP42" s="105" t="s">
        <v>307</v>
      </c>
      <c r="FQ42" s="106"/>
      <c r="FR42" s="105" t="s">
        <v>307</v>
      </c>
      <c r="FS42" s="106"/>
      <c r="FT42" s="105" t="s">
        <v>307</v>
      </c>
      <c r="FU42" s="106"/>
      <c r="FV42" s="105" t="s">
        <v>307</v>
      </c>
      <c r="FW42" s="106"/>
      <c r="FX42" s="105" t="s">
        <v>307</v>
      </c>
      <c r="FY42" s="106"/>
      <c r="FZ42" s="105" t="s">
        <v>307</v>
      </c>
      <c r="GA42" s="106"/>
      <c r="GB42" s="105" t="s">
        <v>307</v>
      </c>
      <c r="GC42" s="106"/>
      <c r="GD42" s="105" t="s">
        <v>307</v>
      </c>
      <c r="GE42" s="106"/>
      <c r="GF42" s="105" t="s">
        <v>307</v>
      </c>
      <c r="GG42" s="106"/>
      <c r="GH42" s="105" t="s">
        <v>307</v>
      </c>
      <c r="GI42" s="106"/>
      <c r="GJ42" s="105" t="s">
        <v>307</v>
      </c>
      <c r="GK42" s="106"/>
      <c r="GL42" s="105" t="s">
        <v>307</v>
      </c>
      <c r="GM42" s="106"/>
      <c r="GN42" s="105" t="s">
        <v>307</v>
      </c>
      <c r="GO42" s="106"/>
      <c r="GP42" s="105" t="s">
        <v>307</v>
      </c>
      <c r="GQ42" s="106"/>
      <c r="GR42" s="105" t="s">
        <v>307</v>
      </c>
      <c r="GS42" s="106"/>
      <c r="GT42" s="105" t="s">
        <v>307</v>
      </c>
      <c r="GU42" s="106"/>
      <c r="GV42" s="105" t="s">
        <v>307</v>
      </c>
      <c r="GW42" s="106"/>
      <c r="GX42" s="105" t="s">
        <v>307</v>
      </c>
      <c r="GY42" s="106"/>
      <c r="GZ42" s="105" t="s">
        <v>307</v>
      </c>
      <c r="HA42" s="106"/>
    </row>
    <row r="43" spans="1:209" x14ac:dyDescent="0.3">
      <c r="A43" s="131"/>
      <c r="B43" s="132"/>
      <c r="C43" s="67" t="s">
        <v>228</v>
      </c>
      <c r="D43" s="110" t="s">
        <v>313</v>
      </c>
      <c r="E43" s="107"/>
      <c r="F43" s="103" t="s">
        <v>313</v>
      </c>
      <c r="G43" s="104"/>
      <c r="H43" s="105" t="s">
        <v>313</v>
      </c>
      <c r="I43" s="106"/>
      <c r="J43" s="105" t="s">
        <v>313</v>
      </c>
      <c r="K43" s="106"/>
      <c r="L43" s="105" t="s">
        <v>313</v>
      </c>
      <c r="M43" s="106"/>
      <c r="N43" s="105" t="s">
        <v>313</v>
      </c>
      <c r="O43" s="106"/>
      <c r="P43" s="105" t="s">
        <v>313</v>
      </c>
      <c r="Q43" s="106"/>
      <c r="R43" s="105" t="s">
        <v>313</v>
      </c>
      <c r="S43" s="106"/>
      <c r="T43" s="105" t="s">
        <v>313</v>
      </c>
      <c r="U43" s="106"/>
      <c r="V43" s="105" t="s">
        <v>313</v>
      </c>
      <c r="W43" s="106"/>
      <c r="X43" s="105" t="s">
        <v>313</v>
      </c>
      <c r="Y43" s="106"/>
      <c r="Z43" s="105" t="s">
        <v>313</v>
      </c>
      <c r="AA43" s="106"/>
      <c r="AB43" s="105" t="s">
        <v>314</v>
      </c>
      <c r="AC43" s="106"/>
      <c r="AD43" s="105" t="s">
        <v>313</v>
      </c>
      <c r="AE43" s="106"/>
      <c r="AF43" s="105" t="s">
        <v>313</v>
      </c>
      <c r="AG43" s="106"/>
      <c r="AH43" s="105" t="s">
        <v>313</v>
      </c>
      <c r="AI43" s="106"/>
      <c r="AJ43" s="105" t="s">
        <v>313</v>
      </c>
      <c r="AK43" s="106"/>
      <c r="AL43" s="105" t="s">
        <v>315</v>
      </c>
      <c r="AM43" s="106"/>
      <c r="AN43" s="105" t="s">
        <v>313</v>
      </c>
      <c r="AO43" s="106"/>
      <c r="AP43" s="105" t="s">
        <v>313</v>
      </c>
      <c r="AQ43" s="106"/>
      <c r="AR43" s="105" t="s">
        <v>313</v>
      </c>
      <c r="AS43" s="106"/>
      <c r="AT43" s="105" t="s">
        <v>313</v>
      </c>
      <c r="AU43" s="106"/>
      <c r="AV43" s="105" t="s">
        <v>313</v>
      </c>
      <c r="AW43" s="106"/>
      <c r="AX43" s="105" t="s">
        <v>313</v>
      </c>
      <c r="AY43" s="106"/>
      <c r="AZ43" s="105" t="s">
        <v>313</v>
      </c>
      <c r="BA43" s="106"/>
      <c r="BB43" s="105" t="s">
        <v>313</v>
      </c>
      <c r="BC43" s="106"/>
      <c r="BD43" s="105" t="s">
        <v>313</v>
      </c>
      <c r="BE43" s="106"/>
      <c r="BF43" s="105" t="s">
        <v>313</v>
      </c>
      <c r="BG43" s="106"/>
      <c r="BH43" s="105" t="s">
        <v>313</v>
      </c>
      <c r="BI43" s="106"/>
      <c r="BJ43" s="105" t="s">
        <v>313</v>
      </c>
      <c r="BK43" s="106"/>
      <c r="BL43" s="105" t="s">
        <v>313</v>
      </c>
      <c r="BM43" s="106"/>
      <c r="BN43" s="105" t="s">
        <v>313</v>
      </c>
      <c r="BO43" s="106"/>
      <c r="BP43" s="105" t="s">
        <v>313</v>
      </c>
      <c r="BQ43" s="106"/>
      <c r="BR43" s="105" t="s">
        <v>313</v>
      </c>
      <c r="BS43" s="106"/>
      <c r="BT43" s="105" t="s">
        <v>316</v>
      </c>
      <c r="BU43" s="106"/>
      <c r="BV43" s="105" t="s">
        <v>313</v>
      </c>
      <c r="BW43" s="106"/>
      <c r="BX43" s="105" t="s">
        <v>313</v>
      </c>
      <c r="BY43" s="106"/>
      <c r="BZ43" s="105" t="s">
        <v>313</v>
      </c>
      <c r="CA43" s="106"/>
      <c r="CB43" s="105" t="s">
        <v>317</v>
      </c>
      <c r="CC43" s="106"/>
      <c r="CD43" s="105" t="s">
        <v>313</v>
      </c>
      <c r="CE43" s="106"/>
      <c r="CF43" s="105" t="s">
        <v>313</v>
      </c>
      <c r="CG43" s="106"/>
      <c r="CH43" s="105" t="s">
        <v>313</v>
      </c>
      <c r="CI43" s="106"/>
      <c r="CJ43" s="105" t="s">
        <v>318</v>
      </c>
      <c r="CK43" s="106"/>
      <c r="CL43" s="105" t="s">
        <v>313</v>
      </c>
      <c r="CM43" s="106"/>
      <c r="CN43" s="105" t="s">
        <v>313</v>
      </c>
      <c r="CO43" s="106"/>
      <c r="CP43" s="105" t="s">
        <v>313</v>
      </c>
      <c r="CQ43" s="106"/>
      <c r="CR43" s="105" t="s">
        <v>313</v>
      </c>
      <c r="CS43" s="106"/>
      <c r="CT43" s="105" t="s">
        <v>313</v>
      </c>
      <c r="CU43" s="106"/>
      <c r="CV43" s="105" t="s">
        <v>313</v>
      </c>
      <c r="CW43" s="106"/>
      <c r="CX43" s="105" t="s">
        <v>313</v>
      </c>
      <c r="CY43" s="106"/>
      <c r="CZ43" s="105" t="s">
        <v>313</v>
      </c>
      <c r="DA43" s="106"/>
      <c r="DB43" s="105" t="s">
        <v>313</v>
      </c>
      <c r="DC43" s="106"/>
      <c r="DD43" s="105" t="s">
        <v>313</v>
      </c>
      <c r="DE43" s="106"/>
      <c r="DF43" s="105" t="s">
        <v>313</v>
      </c>
      <c r="DG43" s="106"/>
      <c r="DH43" s="105" t="s">
        <v>319</v>
      </c>
      <c r="DI43" s="106"/>
      <c r="DJ43" s="105" t="s">
        <v>313</v>
      </c>
      <c r="DK43" s="106"/>
      <c r="DL43" s="105" t="s">
        <v>313</v>
      </c>
      <c r="DM43" s="106"/>
      <c r="DN43" s="105" t="s">
        <v>313</v>
      </c>
      <c r="DO43" s="106"/>
      <c r="DP43" s="105" t="s">
        <v>320</v>
      </c>
      <c r="DQ43" s="106"/>
      <c r="DR43" s="105" t="s">
        <v>313</v>
      </c>
      <c r="DS43" s="106"/>
      <c r="DT43" s="105" t="s">
        <v>313</v>
      </c>
      <c r="DU43" s="106"/>
      <c r="DV43" s="105" t="s">
        <v>313</v>
      </c>
      <c r="DW43" s="106"/>
      <c r="DX43" s="105" t="s">
        <v>313</v>
      </c>
      <c r="DY43" s="106"/>
      <c r="DZ43" s="105" t="s">
        <v>313</v>
      </c>
      <c r="EA43" s="106"/>
      <c r="EB43" s="105" t="s">
        <v>321</v>
      </c>
      <c r="EC43" s="106"/>
      <c r="ED43" s="105" t="s">
        <v>321</v>
      </c>
      <c r="EE43" s="106"/>
      <c r="EF43" s="105"/>
      <c r="EG43" s="106"/>
      <c r="EH43" s="105" t="s">
        <v>319</v>
      </c>
      <c r="EI43" s="106"/>
      <c r="EJ43" s="105" t="s">
        <v>313</v>
      </c>
      <c r="EK43" s="106"/>
      <c r="EL43" s="105" t="s">
        <v>313</v>
      </c>
      <c r="EM43" s="106"/>
      <c r="EN43" s="105" t="s">
        <v>313</v>
      </c>
      <c r="EO43" s="106"/>
      <c r="EP43" s="105" t="s">
        <v>313</v>
      </c>
      <c r="EQ43" s="106"/>
      <c r="ER43" s="105" t="s">
        <v>322</v>
      </c>
      <c r="ES43" s="106"/>
      <c r="ET43" s="105" t="s">
        <v>323</v>
      </c>
      <c r="EU43" s="106"/>
      <c r="EV43" s="105" t="s">
        <v>324</v>
      </c>
      <c r="EW43" s="106"/>
      <c r="EX43" s="105" t="s">
        <v>313</v>
      </c>
      <c r="EY43" s="106"/>
      <c r="EZ43" s="105" t="s">
        <v>313</v>
      </c>
      <c r="FA43" s="106"/>
      <c r="FB43" s="105" t="s">
        <v>313</v>
      </c>
      <c r="FC43" s="106"/>
      <c r="FD43" s="105" t="s">
        <v>313</v>
      </c>
      <c r="FE43" s="106"/>
      <c r="FF43" s="105" t="s">
        <v>313</v>
      </c>
      <c r="FG43" s="106"/>
      <c r="FH43" s="105" t="s">
        <v>313</v>
      </c>
      <c r="FI43" s="106"/>
      <c r="FJ43" s="105" t="s">
        <v>313</v>
      </c>
      <c r="FK43" s="106"/>
      <c r="FL43" s="105" t="s">
        <v>313</v>
      </c>
      <c r="FM43" s="106"/>
      <c r="FN43" s="105" t="s">
        <v>325</v>
      </c>
      <c r="FO43" s="106"/>
      <c r="FP43" s="105" t="s">
        <v>313</v>
      </c>
      <c r="FQ43" s="106"/>
      <c r="FR43" s="105" t="s">
        <v>266</v>
      </c>
      <c r="FS43" s="106"/>
      <c r="FT43" s="105" t="s">
        <v>313</v>
      </c>
      <c r="FU43" s="106"/>
      <c r="FV43" s="105" t="s">
        <v>313</v>
      </c>
      <c r="FW43" s="106"/>
      <c r="FX43" s="105" t="s">
        <v>313</v>
      </c>
      <c r="FY43" s="106"/>
      <c r="FZ43" s="105" t="s">
        <v>322</v>
      </c>
      <c r="GA43" s="106"/>
      <c r="GB43" s="105" t="s">
        <v>323</v>
      </c>
      <c r="GC43" s="106"/>
      <c r="GD43" s="105" t="s">
        <v>313</v>
      </c>
      <c r="GE43" s="106"/>
      <c r="GF43" s="105" t="s">
        <v>313</v>
      </c>
      <c r="GG43" s="106"/>
      <c r="GH43" s="105" t="s">
        <v>313</v>
      </c>
      <c r="GI43" s="106"/>
      <c r="GJ43" s="105" t="s">
        <v>313</v>
      </c>
      <c r="GK43" s="106"/>
      <c r="GL43" s="105" t="s">
        <v>313</v>
      </c>
      <c r="GM43" s="106"/>
      <c r="GN43" s="105" t="s">
        <v>313</v>
      </c>
      <c r="GO43" s="106"/>
      <c r="GP43" s="105" t="s">
        <v>313</v>
      </c>
      <c r="GQ43" s="106"/>
      <c r="GR43" s="105" t="s">
        <v>313</v>
      </c>
      <c r="GS43" s="106"/>
      <c r="GT43" s="105" t="s">
        <v>313</v>
      </c>
      <c r="GU43" s="106"/>
      <c r="GV43" s="105" t="s">
        <v>320</v>
      </c>
      <c r="GW43" s="106"/>
      <c r="GX43" s="105" t="s">
        <v>313</v>
      </c>
      <c r="GY43" s="106"/>
      <c r="GZ43" s="105" t="s">
        <v>313</v>
      </c>
      <c r="HA43" s="106"/>
    </row>
    <row r="44" spans="1:209" x14ac:dyDescent="0.3">
      <c r="A44" s="131"/>
      <c r="B44" s="132"/>
      <c r="C44" s="67" t="s">
        <v>229</v>
      </c>
      <c r="D44" s="110" t="s">
        <v>307</v>
      </c>
      <c r="E44" s="107"/>
      <c r="F44" s="103" t="s">
        <v>307</v>
      </c>
      <c r="G44" s="104"/>
      <c r="H44" s="105" t="s">
        <v>326</v>
      </c>
      <c r="I44" s="106"/>
      <c r="J44" s="105" t="s">
        <v>307</v>
      </c>
      <c r="K44" s="106"/>
      <c r="L44" s="105" t="s">
        <v>312</v>
      </c>
      <c r="M44" s="106"/>
      <c r="N44" s="105" t="s">
        <v>307</v>
      </c>
      <c r="O44" s="106"/>
      <c r="P44" s="105" t="s">
        <v>326</v>
      </c>
      <c r="Q44" s="106"/>
      <c r="R44" s="105" t="s">
        <v>312</v>
      </c>
      <c r="S44" s="106"/>
      <c r="T44" s="105" t="s">
        <v>307</v>
      </c>
      <c r="U44" s="106"/>
      <c r="V44" s="105" t="s">
        <v>307</v>
      </c>
      <c r="W44" s="106"/>
      <c r="X44" s="105" t="s">
        <v>307</v>
      </c>
      <c r="Y44" s="106"/>
      <c r="Z44" s="105" t="s">
        <v>307</v>
      </c>
      <c r="AA44" s="106"/>
      <c r="AB44" s="105" t="s">
        <v>327</v>
      </c>
      <c r="AC44" s="106"/>
      <c r="AD44" s="105" t="s">
        <v>307</v>
      </c>
      <c r="AE44" s="106"/>
      <c r="AF44" s="105" t="s">
        <v>307</v>
      </c>
      <c r="AG44" s="106"/>
      <c r="AH44" s="105" t="s">
        <v>307</v>
      </c>
      <c r="AI44" s="106"/>
      <c r="AJ44" s="105" t="s">
        <v>307</v>
      </c>
      <c r="AK44" s="106"/>
      <c r="AL44" s="105" t="s">
        <v>328</v>
      </c>
      <c r="AM44" s="106"/>
      <c r="AN44" s="105" t="s">
        <v>307</v>
      </c>
      <c r="AO44" s="106"/>
      <c r="AP44" s="105" t="s">
        <v>307</v>
      </c>
      <c r="AQ44" s="106"/>
      <c r="AR44" s="105" t="s">
        <v>326</v>
      </c>
      <c r="AS44" s="106"/>
      <c r="AT44" s="105" t="s">
        <v>307</v>
      </c>
      <c r="AU44" s="106"/>
      <c r="AV44" s="105" t="s">
        <v>307</v>
      </c>
      <c r="AW44" s="106"/>
      <c r="AX44" s="105" t="s">
        <v>307</v>
      </c>
      <c r="AY44" s="106"/>
      <c r="AZ44" s="105" t="s">
        <v>307</v>
      </c>
      <c r="BA44" s="106"/>
      <c r="BB44" s="105" t="s">
        <v>307</v>
      </c>
      <c r="BC44" s="106"/>
      <c r="BD44" s="105" t="s">
        <v>307</v>
      </c>
      <c r="BE44" s="106"/>
      <c r="BF44" s="105" t="s">
        <v>307</v>
      </c>
      <c r="BG44" s="106"/>
      <c r="BH44" s="105" t="s">
        <v>307</v>
      </c>
      <c r="BI44" s="106"/>
      <c r="BJ44" s="105" t="s">
        <v>307</v>
      </c>
      <c r="BK44" s="106"/>
      <c r="BL44" s="105" t="s">
        <v>307</v>
      </c>
      <c r="BM44" s="106"/>
      <c r="BN44" s="105" t="s">
        <v>329</v>
      </c>
      <c r="BO44" s="106"/>
      <c r="BP44" s="105" t="s">
        <v>307</v>
      </c>
      <c r="BQ44" s="106"/>
      <c r="BR44" s="105" t="s">
        <v>330</v>
      </c>
      <c r="BS44" s="106"/>
      <c r="BT44" s="105" t="s">
        <v>307</v>
      </c>
      <c r="BU44" s="106"/>
      <c r="BV44" s="105" t="s">
        <v>326</v>
      </c>
      <c r="BW44" s="106"/>
      <c r="BX44" s="105" t="s">
        <v>307</v>
      </c>
      <c r="BY44" s="106"/>
      <c r="BZ44" s="105" t="s">
        <v>307</v>
      </c>
      <c r="CA44" s="106"/>
      <c r="CB44" s="105" t="s">
        <v>331</v>
      </c>
      <c r="CC44" s="106"/>
      <c r="CD44" s="105" t="s">
        <v>307</v>
      </c>
      <c r="CE44" s="106"/>
      <c r="CF44" s="105" t="s">
        <v>307</v>
      </c>
      <c r="CG44" s="106"/>
      <c r="CH44" s="105" t="s">
        <v>307</v>
      </c>
      <c r="CI44" s="106"/>
      <c r="CJ44" s="105" t="s">
        <v>307</v>
      </c>
      <c r="CK44" s="106"/>
      <c r="CL44" s="105" t="s">
        <v>307</v>
      </c>
      <c r="CM44" s="106"/>
      <c r="CN44" s="105" t="s">
        <v>307</v>
      </c>
      <c r="CO44" s="106"/>
      <c r="CP44" s="105" t="s">
        <v>307</v>
      </c>
      <c r="CQ44" s="106"/>
      <c r="CR44" s="105" t="s">
        <v>307</v>
      </c>
      <c r="CS44" s="106"/>
      <c r="CT44" s="105" t="s">
        <v>307</v>
      </c>
      <c r="CU44" s="106"/>
      <c r="CV44" s="105" t="s">
        <v>307</v>
      </c>
      <c r="CW44" s="106"/>
      <c r="CX44" s="105" t="s">
        <v>307</v>
      </c>
      <c r="CY44" s="106"/>
      <c r="CZ44" s="105" t="s">
        <v>312</v>
      </c>
      <c r="DA44" s="106"/>
      <c r="DB44" s="105" t="s">
        <v>307</v>
      </c>
      <c r="DC44" s="106"/>
      <c r="DD44" s="105" t="s">
        <v>307</v>
      </c>
      <c r="DE44" s="106"/>
      <c r="DF44" s="105" t="s">
        <v>307</v>
      </c>
      <c r="DG44" s="106"/>
      <c r="DH44" s="105" t="s">
        <v>307</v>
      </c>
      <c r="DI44" s="106"/>
      <c r="DJ44" s="105" t="s">
        <v>307</v>
      </c>
      <c r="DK44" s="106"/>
      <c r="DL44" s="105" t="s">
        <v>307</v>
      </c>
      <c r="DM44" s="106"/>
      <c r="DN44" s="105" t="s">
        <v>307</v>
      </c>
      <c r="DO44" s="106"/>
      <c r="DP44" s="105" t="s">
        <v>307</v>
      </c>
      <c r="DQ44" s="106"/>
      <c r="DR44" s="105" t="s">
        <v>307</v>
      </c>
      <c r="DS44" s="106"/>
      <c r="DT44" s="105" t="s">
        <v>307</v>
      </c>
      <c r="DU44" s="106"/>
      <c r="DV44" s="105" t="s">
        <v>307</v>
      </c>
      <c r="DW44" s="106"/>
      <c r="DX44" s="105" t="s">
        <v>307</v>
      </c>
      <c r="DY44" s="106"/>
      <c r="DZ44" s="105" t="s">
        <v>307</v>
      </c>
      <c r="EA44" s="106"/>
      <c r="EB44" s="105" t="s">
        <v>307</v>
      </c>
      <c r="EC44" s="106"/>
      <c r="ED44" s="105" t="s">
        <v>307</v>
      </c>
      <c r="EE44" s="106"/>
      <c r="EF44" s="105"/>
      <c r="EG44" s="106"/>
      <c r="EH44" s="105" t="s">
        <v>307</v>
      </c>
      <c r="EI44" s="106"/>
      <c r="EJ44" s="105" t="s">
        <v>307</v>
      </c>
      <c r="EK44" s="106"/>
      <c r="EL44" s="105" t="s">
        <v>307</v>
      </c>
      <c r="EM44" s="106"/>
      <c r="EN44" s="105" t="s">
        <v>312</v>
      </c>
      <c r="EO44" s="106"/>
      <c r="EP44" s="105" t="s">
        <v>307</v>
      </c>
      <c r="EQ44" s="106"/>
      <c r="ER44" s="105" t="s">
        <v>307</v>
      </c>
      <c r="ES44" s="106"/>
      <c r="ET44" s="105" t="s">
        <v>307</v>
      </c>
      <c r="EU44" s="106"/>
      <c r="EV44" s="105" t="s">
        <v>332</v>
      </c>
      <c r="EW44" s="106"/>
      <c r="EX44" s="105" t="s">
        <v>307</v>
      </c>
      <c r="EY44" s="106"/>
      <c r="EZ44" s="105" t="s">
        <v>307</v>
      </c>
      <c r="FA44" s="106"/>
      <c r="FB44" s="105" t="s">
        <v>307</v>
      </c>
      <c r="FC44" s="106"/>
      <c r="FD44" s="105" t="s">
        <v>307</v>
      </c>
      <c r="FE44" s="106"/>
      <c r="FF44" s="105" t="s">
        <v>327</v>
      </c>
      <c r="FG44" s="106"/>
      <c r="FH44" s="105" t="s">
        <v>307</v>
      </c>
      <c r="FI44" s="106"/>
      <c r="FJ44" s="105" t="s">
        <v>307</v>
      </c>
      <c r="FK44" s="106"/>
      <c r="FL44" s="105" t="s">
        <v>333</v>
      </c>
      <c r="FM44" s="106"/>
      <c r="FN44" s="105" t="s">
        <v>307</v>
      </c>
      <c r="FO44" s="106"/>
      <c r="FP44" s="105" t="s">
        <v>307</v>
      </c>
      <c r="FQ44" s="106"/>
      <c r="FR44" s="105" t="s">
        <v>307</v>
      </c>
      <c r="FS44" s="106"/>
      <c r="FT44" s="105" t="s">
        <v>307</v>
      </c>
      <c r="FU44" s="106"/>
      <c r="FV44" s="105" t="s">
        <v>307</v>
      </c>
      <c r="FW44" s="106"/>
      <c r="FX44" s="105" t="s">
        <v>307</v>
      </c>
      <c r="FY44" s="106"/>
      <c r="FZ44" s="105" t="s">
        <v>307</v>
      </c>
      <c r="GA44" s="106"/>
      <c r="GB44" s="105" t="s">
        <v>307</v>
      </c>
      <c r="GC44" s="106"/>
      <c r="GD44" s="105" t="s">
        <v>307</v>
      </c>
      <c r="GE44" s="106"/>
      <c r="GF44" s="105" t="s">
        <v>312</v>
      </c>
      <c r="GG44" s="106"/>
      <c r="GH44" s="105" t="s">
        <v>307</v>
      </c>
      <c r="GI44" s="106"/>
      <c r="GJ44" s="105" t="s">
        <v>307</v>
      </c>
      <c r="GK44" s="106"/>
      <c r="GL44" s="105" t="s">
        <v>307</v>
      </c>
      <c r="GM44" s="106"/>
      <c r="GN44" s="105" t="s">
        <v>307</v>
      </c>
      <c r="GO44" s="106"/>
      <c r="GP44" s="105" t="s">
        <v>307</v>
      </c>
      <c r="GQ44" s="106"/>
      <c r="GR44" s="105" t="s">
        <v>307</v>
      </c>
      <c r="GS44" s="106"/>
      <c r="GT44" s="105" t="s">
        <v>307</v>
      </c>
      <c r="GU44" s="106"/>
      <c r="GV44" s="105" t="s">
        <v>307</v>
      </c>
      <c r="GW44" s="106"/>
      <c r="GX44" s="105" t="s">
        <v>307</v>
      </c>
      <c r="GY44" s="106"/>
      <c r="GZ44" s="105" t="s">
        <v>307</v>
      </c>
      <c r="HA44" s="106"/>
    </row>
    <row r="45" spans="1:209" x14ac:dyDescent="0.3">
      <c r="A45" s="131"/>
      <c r="B45" s="132"/>
      <c r="C45" s="67" t="s">
        <v>230</v>
      </c>
      <c r="D45" s="111" t="s">
        <v>334</v>
      </c>
      <c r="E45" s="112"/>
      <c r="F45" s="103" t="s">
        <v>334</v>
      </c>
      <c r="G45" s="104"/>
      <c r="H45" s="113" t="s">
        <v>334</v>
      </c>
      <c r="I45" s="114"/>
      <c r="J45" s="113" t="s">
        <v>334</v>
      </c>
      <c r="K45" s="114"/>
      <c r="L45" s="113" t="s">
        <v>335</v>
      </c>
      <c r="M45" s="114"/>
      <c r="N45" s="113" t="s">
        <v>334</v>
      </c>
      <c r="O45" s="114"/>
      <c r="P45" s="113" t="s">
        <v>334</v>
      </c>
      <c r="Q45" s="114"/>
      <c r="R45" s="113" t="s">
        <v>334</v>
      </c>
      <c r="S45" s="114"/>
      <c r="T45" s="113" t="s">
        <v>334</v>
      </c>
      <c r="U45" s="114"/>
      <c r="V45" s="113" t="s">
        <v>334</v>
      </c>
      <c r="W45" s="114"/>
      <c r="X45" s="113" t="s">
        <v>334</v>
      </c>
      <c r="Y45" s="114"/>
      <c r="Z45" s="113" t="s">
        <v>334</v>
      </c>
      <c r="AA45" s="114"/>
      <c r="AB45" s="113" t="s">
        <v>334</v>
      </c>
      <c r="AC45" s="114"/>
      <c r="AD45" s="113" t="s">
        <v>334</v>
      </c>
      <c r="AE45" s="114"/>
      <c r="AF45" s="113" t="s">
        <v>334</v>
      </c>
      <c r="AG45" s="114"/>
      <c r="AH45" s="113" t="s">
        <v>334</v>
      </c>
      <c r="AI45" s="114"/>
      <c r="AJ45" s="113" t="s">
        <v>334</v>
      </c>
      <c r="AK45" s="114"/>
      <c r="AL45" s="113" t="s">
        <v>334</v>
      </c>
      <c r="AM45" s="114"/>
      <c r="AN45" s="113" t="s">
        <v>334</v>
      </c>
      <c r="AO45" s="114"/>
      <c r="AP45" s="113" t="s">
        <v>334</v>
      </c>
      <c r="AQ45" s="114"/>
      <c r="AR45" s="113" t="s">
        <v>334</v>
      </c>
      <c r="AS45" s="114"/>
      <c r="AT45" s="113" t="s">
        <v>334</v>
      </c>
      <c r="AU45" s="114"/>
      <c r="AV45" s="113" t="s">
        <v>334</v>
      </c>
      <c r="AW45" s="114"/>
      <c r="AX45" s="113" t="s">
        <v>334</v>
      </c>
      <c r="AY45" s="114"/>
      <c r="AZ45" s="113" t="s">
        <v>334</v>
      </c>
      <c r="BA45" s="114"/>
      <c r="BB45" s="113" t="s">
        <v>334</v>
      </c>
      <c r="BC45" s="114"/>
      <c r="BD45" s="113" t="s">
        <v>334</v>
      </c>
      <c r="BE45" s="114"/>
      <c r="BF45" s="113" t="s">
        <v>334</v>
      </c>
      <c r="BG45" s="114"/>
      <c r="BH45" s="113" t="s">
        <v>334</v>
      </c>
      <c r="BI45" s="114"/>
      <c r="BJ45" s="113" t="s">
        <v>334</v>
      </c>
      <c r="BK45" s="114"/>
      <c r="BL45" s="113" t="s">
        <v>334</v>
      </c>
      <c r="BM45" s="114"/>
      <c r="BN45" s="113" t="s">
        <v>334</v>
      </c>
      <c r="BO45" s="114"/>
      <c r="BP45" s="113" t="s">
        <v>334</v>
      </c>
      <c r="BQ45" s="114"/>
      <c r="BR45" s="113" t="s">
        <v>334</v>
      </c>
      <c r="BS45" s="114"/>
      <c r="BT45" s="113" t="s">
        <v>334</v>
      </c>
      <c r="BU45" s="114"/>
      <c r="BV45" s="113" t="s">
        <v>334</v>
      </c>
      <c r="BW45" s="114"/>
      <c r="BX45" s="113" t="s">
        <v>334</v>
      </c>
      <c r="BY45" s="114"/>
      <c r="BZ45" s="113" t="s">
        <v>334</v>
      </c>
      <c r="CA45" s="114"/>
      <c r="CB45" s="113" t="s">
        <v>334</v>
      </c>
      <c r="CC45" s="114"/>
      <c r="CD45" s="113" t="s">
        <v>334</v>
      </c>
      <c r="CE45" s="114"/>
      <c r="CF45" s="113" t="s">
        <v>334</v>
      </c>
      <c r="CG45" s="114"/>
      <c r="CH45" s="113" t="s">
        <v>334</v>
      </c>
      <c r="CI45" s="114"/>
      <c r="CJ45" s="113" t="s">
        <v>334</v>
      </c>
      <c r="CK45" s="114"/>
      <c r="CL45" s="113" t="s">
        <v>334</v>
      </c>
      <c r="CM45" s="114"/>
      <c r="CN45" s="113" t="s">
        <v>334</v>
      </c>
      <c r="CO45" s="114"/>
      <c r="CP45" s="113" t="s">
        <v>334</v>
      </c>
      <c r="CQ45" s="114"/>
      <c r="CR45" s="113" t="s">
        <v>334</v>
      </c>
      <c r="CS45" s="114"/>
      <c r="CT45" s="113" t="s">
        <v>334</v>
      </c>
      <c r="CU45" s="114"/>
      <c r="CV45" s="113" t="s">
        <v>334</v>
      </c>
      <c r="CW45" s="114"/>
      <c r="CX45" s="113" t="s">
        <v>336</v>
      </c>
      <c r="CY45" s="114"/>
      <c r="CZ45" s="113" t="s">
        <v>334</v>
      </c>
      <c r="DA45" s="114"/>
      <c r="DB45" s="113" t="s">
        <v>334</v>
      </c>
      <c r="DC45" s="114"/>
      <c r="DD45" s="113" t="s">
        <v>334</v>
      </c>
      <c r="DE45" s="114"/>
      <c r="DF45" s="113" t="s">
        <v>334</v>
      </c>
      <c r="DG45" s="114"/>
      <c r="DH45" s="113" t="s">
        <v>334</v>
      </c>
      <c r="DI45" s="114"/>
      <c r="DJ45" s="113" t="s">
        <v>334</v>
      </c>
      <c r="DK45" s="114"/>
      <c r="DL45" s="113" t="s">
        <v>334</v>
      </c>
      <c r="DM45" s="114"/>
      <c r="DN45" s="113" t="s">
        <v>334</v>
      </c>
      <c r="DO45" s="114"/>
      <c r="DP45" s="113" t="s">
        <v>334</v>
      </c>
      <c r="DQ45" s="114"/>
      <c r="DR45" s="113" t="s">
        <v>334</v>
      </c>
      <c r="DS45" s="114"/>
      <c r="DT45" s="113" t="s">
        <v>334</v>
      </c>
      <c r="DU45" s="114"/>
      <c r="DV45" s="113" t="s">
        <v>334</v>
      </c>
      <c r="DW45" s="114"/>
      <c r="DX45" s="113" t="s">
        <v>334</v>
      </c>
      <c r="DY45" s="114"/>
      <c r="DZ45" s="113" t="s">
        <v>334</v>
      </c>
      <c r="EA45" s="114"/>
      <c r="EB45" s="113" t="s">
        <v>334</v>
      </c>
      <c r="EC45" s="114"/>
      <c r="ED45" s="113" t="s">
        <v>334</v>
      </c>
      <c r="EE45" s="114"/>
      <c r="EF45" s="113"/>
      <c r="EG45" s="114"/>
      <c r="EH45" s="113" t="s">
        <v>334</v>
      </c>
      <c r="EI45" s="114"/>
      <c r="EJ45" s="113" t="s">
        <v>334</v>
      </c>
      <c r="EK45" s="114"/>
      <c r="EL45" s="113" t="s">
        <v>334</v>
      </c>
      <c r="EM45" s="114"/>
      <c r="EN45" s="113" t="s">
        <v>334</v>
      </c>
      <c r="EO45" s="114"/>
      <c r="EP45" s="113" t="s">
        <v>334</v>
      </c>
      <c r="EQ45" s="114"/>
      <c r="ER45" s="113" t="s">
        <v>334</v>
      </c>
      <c r="ES45" s="114"/>
      <c r="ET45" s="113" t="s">
        <v>334</v>
      </c>
      <c r="EU45" s="114"/>
      <c r="EV45" s="113" t="s">
        <v>334</v>
      </c>
      <c r="EW45" s="114"/>
      <c r="EX45" s="113" t="s">
        <v>334</v>
      </c>
      <c r="EY45" s="114"/>
      <c r="EZ45" s="113" t="s">
        <v>334</v>
      </c>
      <c r="FA45" s="114"/>
      <c r="FB45" s="113" t="s">
        <v>334</v>
      </c>
      <c r="FC45" s="114"/>
      <c r="FD45" s="113" t="s">
        <v>334</v>
      </c>
      <c r="FE45" s="114"/>
      <c r="FF45" s="113" t="s">
        <v>334</v>
      </c>
      <c r="FG45" s="114"/>
      <c r="FH45" s="113" t="s">
        <v>334</v>
      </c>
      <c r="FI45" s="114"/>
      <c r="FJ45" s="113" t="s">
        <v>334</v>
      </c>
      <c r="FK45" s="114"/>
      <c r="FL45" s="113" t="s">
        <v>334</v>
      </c>
      <c r="FM45" s="114"/>
      <c r="FN45" s="113" t="s">
        <v>334</v>
      </c>
      <c r="FO45" s="114"/>
      <c r="FP45" s="105" t="s">
        <v>334</v>
      </c>
      <c r="FQ45" s="106"/>
      <c r="FR45" s="113" t="s">
        <v>334</v>
      </c>
      <c r="FS45" s="114"/>
      <c r="FT45" s="113" t="s">
        <v>334</v>
      </c>
      <c r="FU45" s="114"/>
      <c r="FV45" s="113" t="s">
        <v>334</v>
      </c>
      <c r="FW45" s="114"/>
      <c r="FX45" s="113" t="s">
        <v>334</v>
      </c>
      <c r="FY45" s="114"/>
      <c r="FZ45" s="113" t="s">
        <v>334</v>
      </c>
      <c r="GA45" s="114"/>
      <c r="GB45" s="113" t="s">
        <v>334</v>
      </c>
      <c r="GC45" s="114"/>
      <c r="GD45" s="113" t="s">
        <v>334</v>
      </c>
      <c r="GE45" s="114"/>
      <c r="GF45" s="113" t="s">
        <v>334</v>
      </c>
      <c r="GG45" s="114"/>
      <c r="GH45" s="113" t="s">
        <v>334</v>
      </c>
      <c r="GI45" s="114"/>
      <c r="GJ45" s="113" t="s">
        <v>334</v>
      </c>
      <c r="GK45" s="114"/>
      <c r="GL45" s="113" t="s">
        <v>334</v>
      </c>
      <c r="GM45" s="114"/>
      <c r="GN45" s="113" t="s">
        <v>334</v>
      </c>
      <c r="GO45" s="114"/>
      <c r="GP45" s="113" t="s">
        <v>334</v>
      </c>
      <c r="GQ45" s="114"/>
      <c r="GR45" s="113" t="s">
        <v>334</v>
      </c>
      <c r="GS45" s="114"/>
      <c r="GT45" s="113" t="s">
        <v>334</v>
      </c>
      <c r="GU45" s="114"/>
      <c r="GV45" s="113" t="s">
        <v>334</v>
      </c>
      <c r="GW45" s="114"/>
      <c r="GX45" s="113" t="s">
        <v>334</v>
      </c>
      <c r="GY45" s="114"/>
      <c r="GZ45" s="113" t="s">
        <v>334</v>
      </c>
      <c r="HA45" s="114"/>
    </row>
    <row r="46" spans="1:209" ht="16.5" customHeight="1" x14ac:dyDescent="0.3">
      <c r="A46" s="131"/>
      <c r="B46" s="132"/>
      <c r="C46" s="67" t="s">
        <v>232</v>
      </c>
      <c r="D46" s="103" t="s">
        <v>337</v>
      </c>
      <c r="E46" s="104"/>
      <c r="F46" s="103" t="s">
        <v>337</v>
      </c>
      <c r="G46" s="104"/>
      <c r="H46" s="108" t="s">
        <v>338</v>
      </c>
      <c r="I46" s="109"/>
      <c r="J46" s="108" t="s">
        <v>337</v>
      </c>
      <c r="K46" s="109"/>
      <c r="L46" s="108" t="s">
        <v>339</v>
      </c>
      <c r="M46" s="109"/>
      <c r="N46" s="108" t="s">
        <v>337</v>
      </c>
      <c r="O46" s="109"/>
      <c r="P46" s="108" t="s">
        <v>337</v>
      </c>
      <c r="Q46" s="109"/>
      <c r="R46" s="108" t="s">
        <v>337</v>
      </c>
      <c r="S46" s="109"/>
      <c r="T46" s="108" t="s">
        <v>337</v>
      </c>
      <c r="U46" s="109"/>
      <c r="V46" s="108" t="s">
        <v>337</v>
      </c>
      <c r="W46" s="109"/>
      <c r="X46" s="108" t="s">
        <v>337</v>
      </c>
      <c r="Y46" s="109"/>
      <c r="Z46" s="108" t="s">
        <v>337</v>
      </c>
      <c r="AA46" s="109"/>
      <c r="AB46" s="108" t="s">
        <v>337</v>
      </c>
      <c r="AC46" s="109"/>
      <c r="AD46" s="108" t="s">
        <v>337</v>
      </c>
      <c r="AE46" s="109"/>
      <c r="AF46" s="108" t="s">
        <v>337</v>
      </c>
      <c r="AG46" s="109"/>
      <c r="AH46" s="108" t="s">
        <v>340</v>
      </c>
      <c r="AI46" s="109"/>
      <c r="AJ46" s="108" t="s">
        <v>337</v>
      </c>
      <c r="AK46" s="109"/>
      <c r="AL46" s="108" t="s">
        <v>341</v>
      </c>
      <c r="AM46" s="109"/>
      <c r="AN46" s="108" t="s">
        <v>342</v>
      </c>
      <c r="AO46" s="109"/>
      <c r="AP46" s="108" t="s">
        <v>337</v>
      </c>
      <c r="AQ46" s="109"/>
      <c r="AR46" s="108" t="s">
        <v>337</v>
      </c>
      <c r="AS46" s="109"/>
      <c r="AT46" s="108" t="s">
        <v>337</v>
      </c>
      <c r="AU46" s="109"/>
      <c r="AV46" s="108" t="s">
        <v>337</v>
      </c>
      <c r="AW46" s="109"/>
      <c r="AX46" s="108" t="s">
        <v>343</v>
      </c>
      <c r="AY46" s="109"/>
      <c r="AZ46" s="108" t="s">
        <v>337</v>
      </c>
      <c r="BA46" s="109"/>
      <c r="BB46" s="108" t="s">
        <v>344</v>
      </c>
      <c r="BC46" s="109"/>
      <c r="BD46" s="108" t="s">
        <v>337</v>
      </c>
      <c r="BE46" s="109"/>
      <c r="BF46" s="108" t="s">
        <v>337</v>
      </c>
      <c r="BG46" s="109"/>
      <c r="BH46" s="108" t="s">
        <v>337</v>
      </c>
      <c r="BI46" s="109"/>
      <c r="BJ46" s="108" t="s">
        <v>337</v>
      </c>
      <c r="BK46" s="109"/>
      <c r="BL46" s="108" t="s">
        <v>345</v>
      </c>
      <c r="BM46" s="109"/>
      <c r="BN46" s="108" t="s">
        <v>337</v>
      </c>
      <c r="BO46" s="109"/>
      <c r="BP46" s="108" t="s">
        <v>337</v>
      </c>
      <c r="BQ46" s="109"/>
      <c r="BR46" s="108" t="s">
        <v>346</v>
      </c>
      <c r="BS46" s="109"/>
      <c r="BT46" s="108" t="s">
        <v>347</v>
      </c>
      <c r="BU46" s="109"/>
      <c r="BV46" s="108" t="s">
        <v>340</v>
      </c>
      <c r="BW46" s="109"/>
      <c r="BX46" s="108" t="s">
        <v>337</v>
      </c>
      <c r="BY46" s="109"/>
      <c r="BZ46" s="108" t="s">
        <v>348</v>
      </c>
      <c r="CA46" s="109"/>
      <c r="CB46" s="108" t="s">
        <v>340</v>
      </c>
      <c r="CC46" s="109"/>
      <c r="CD46" s="108" t="s">
        <v>337</v>
      </c>
      <c r="CE46" s="109"/>
      <c r="CF46" s="108" t="s">
        <v>337</v>
      </c>
      <c r="CG46" s="109"/>
      <c r="CH46" s="108" t="s">
        <v>337</v>
      </c>
      <c r="CI46" s="109"/>
      <c r="CJ46" s="108" t="s">
        <v>340</v>
      </c>
      <c r="CK46" s="109"/>
      <c r="CL46" s="108" t="s">
        <v>337</v>
      </c>
      <c r="CM46" s="109"/>
      <c r="CN46" s="108" t="s">
        <v>337</v>
      </c>
      <c r="CO46" s="109"/>
      <c r="CP46" s="108" t="s">
        <v>337</v>
      </c>
      <c r="CQ46" s="109"/>
      <c r="CR46" s="108" t="s">
        <v>349</v>
      </c>
      <c r="CS46" s="109"/>
      <c r="CT46" s="108" t="s">
        <v>350</v>
      </c>
      <c r="CU46" s="109"/>
      <c r="CV46" s="108" t="s">
        <v>351</v>
      </c>
      <c r="CW46" s="109"/>
      <c r="CX46" s="108" t="s">
        <v>352</v>
      </c>
      <c r="CY46" s="109"/>
      <c r="CZ46" s="108" t="s">
        <v>337</v>
      </c>
      <c r="DA46" s="109"/>
      <c r="DB46" s="108" t="s">
        <v>337</v>
      </c>
      <c r="DC46" s="109"/>
      <c r="DD46" s="108" t="s">
        <v>353</v>
      </c>
      <c r="DE46" s="109"/>
      <c r="DF46" s="108" t="s">
        <v>337</v>
      </c>
      <c r="DG46" s="109"/>
      <c r="DH46" s="108" t="s">
        <v>354</v>
      </c>
      <c r="DI46" s="109"/>
      <c r="DJ46" s="108" t="s">
        <v>337</v>
      </c>
      <c r="DK46" s="109"/>
      <c r="DL46" s="108" t="s">
        <v>337</v>
      </c>
      <c r="DM46" s="109"/>
      <c r="DN46" s="108" t="s">
        <v>337</v>
      </c>
      <c r="DO46" s="109"/>
      <c r="DP46" s="108" t="s">
        <v>337</v>
      </c>
      <c r="DQ46" s="109"/>
      <c r="DR46" s="108" t="s">
        <v>355</v>
      </c>
      <c r="DS46" s="109"/>
      <c r="DT46" s="108" t="s">
        <v>356</v>
      </c>
      <c r="DU46" s="109"/>
      <c r="DV46" s="108" t="s">
        <v>357</v>
      </c>
      <c r="DW46" s="109"/>
      <c r="DX46" s="108" t="s">
        <v>353</v>
      </c>
      <c r="DY46" s="109"/>
      <c r="DZ46" s="108" t="s">
        <v>337</v>
      </c>
      <c r="EA46" s="109"/>
      <c r="EB46" s="108" t="s">
        <v>358</v>
      </c>
      <c r="EC46" s="109"/>
      <c r="ED46" s="108" t="s">
        <v>358</v>
      </c>
      <c r="EE46" s="109"/>
      <c r="EF46" s="108"/>
      <c r="EG46" s="109"/>
      <c r="EH46" s="108" t="s">
        <v>354</v>
      </c>
      <c r="EI46" s="109"/>
      <c r="EJ46" s="108" t="s">
        <v>357</v>
      </c>
      <c r="EK46" s="109"/>
      <c r="EL46" s="108" t="s">
        <v>337</v>
      </c>
      <c r="EM46" s="109"/>
      <c r="EN46" s="108" t="s">
        <v>359</v>
      </c>
      <c r="EO46" s="109"/>
      <c r="EP46" s="108" t="s">
        <v>337</v>
      </c>
      <c r="EQ46" s="109"/>
      <c r="ER46" s="108" t="s">
        <v>356</v>
      </c>
      <c r="ES46" s="109"/>
      <c r="ET46" s="108" t="s">
        <v>360</v>
      </c>
      <c r="EU46" s="109"/>
      <c r="EV46" s="108" t="s">
        <v>361</v>
      </c>
      <c r="EW46" s="109"/>
      <c r="EX46" s="108" t="s">
        <v>337</v>
      </c>
      <c r="EY46" s="109"/>
      <c r="EZ46" s="108" t="s">
        <v>337</v>
      </c>
      <c r="FA46" s="109"/>
      <c r="FB46" s="108" t="s">
        <v>362</v>
      </c>
      <c r="FC46" s="109"/>
      <c r="FD46" s="108" t="s">
        <v>337</v>
      </c>
      <c r="FE46" s="109"/>
      <c r="FF46" s="108" t="s">
        <v>353</v>
      </c>
      <c r="FG46" s="109"/>
      <c r="FH46" s="108" t="s">
        <v>363</v>
      </c>
      <c r="FI46" s="109"/>
      <c r="FJ46" s="108" t="s">
        <v>363</v>
      </c>
      <c r="FK46" s="109"/>
      <c r="FL46" s="108" t="s">
        <v>364</v>
      </c>
      <c r="FM46" s="109"/>
      <c r="FN46" s="108" t="s">
        <v>365</v>
      </c>
      <c r="FO46" s="109"/>
      <c r="FP46" s="105" t="s">
        <v>356</v>
      </c>
      <c r="FQ46" s="106"/>
      <c r="FR46" s="108" t="s">
        <v>366</v>
      </c>
      <c r="FS46" s="109"/>
      <c r="FT46" s="108" t="s">
        <v>367</v>
      </c>
      <c r="FU46" s="109"/>
      <c r="FV46" s="108" t="s">
        <v>367</v>
      </c>
      <c r="FW46" s="109"/>
      <c r="FX46" s="108" t="s">
        <v>367</v>
      </c>
      <c r="FY46" s="109"/>
      <c r="FZ46" s="108" t="s">
        <v>368</v>
      </c>
      <c r="GA46" s="109"/>
      <c r="GB46" s="108" t="s">
        <v>369</v>
      </c>
      <c r="GC46" s="109"/>
      <c r="GD46" s="108" t="s">
        <v>370</v>
      </c>
      <c r="GE46" s="109"/>
      <c r="GF46" s="108" t="s">
        <v>371</v>
      </c>
      <c r="GG46" s="109"/>
      <c r="GH46" s="108" t="s">
        <v>372</v>
      </c>
      <c r="GI46" s="109"/>
      <c r="GJ46" s="108" t="s">
        <v>367</v>
      </c>
      <c r="GK46" s="109"/>
      <c r="GL46" s="108" t="s">
        <v>367</v>
      </c>
      <c r="GM46" s="109"/>
      <c r="GN46" s="108" t="s">
        <v>367</v>
      </c>
      <c r="GO46" s="109"/>
      <c r="GP46" s="108" t="s">
        <v>367</v>
      </c>
      <c r="GQ46" s="109"/>
      <c r="GR46" s="108" t="s">
        <v>373</v>
      </c>
      <c r="GS46" s="109"/>
      <c r="GT46" s="108" t="s">
        <v>374</v>
      </c>
      <c r="GU46" s="109"/>
      <c r="GV46" s="108" t="s">
        <v>375</v>
      </c>
      <c r="GW46" s="109"/>
      <c r="GX46" s="108" t="s">
        <v>337</v>
      </c>
      <c r="GY46" s="109"/>
      <c r="GZ46" s="108" t="s">
        <v>337</v>
      </c>
      <c r="HA46" s="109"/>
    </row>
    <row r="47" spans="1:209" ht="17.25" thickBot="1" x14ac:dyDescent="0.35">
      <c r="A47" s="133"/>
      <c r="B47" s="134"/>
      <c r="C47" s="115" t="s">
        <v>376</v>
      </c>
      <c r="D47" s="116" t="s">
        <v>377</v>
      </c>
      <c r="E47" s="125"/>
      <c r="F47" s="117" t="s">
        <v>378</v>
      </c>
      <c r="G47" s="118"/>
      <c r="H47" s="119" t="s">
        <v>379</v>
      </c>
      <c r="I47" s="120"/>
      <c r="J47" s="119" t="s">
        <v>380</v>
      </c>
      <c r="K47" s="120"/>
      <c r="L47" s="119" t="s">
        <v>381</v>
      </c>
      <c r="M47" s="120"/>
      <c r="N47" s="119" t="s">
        <v>382</v>
      </c>
      <c r="O47" s="120"/>
      <c r="P47" s="119" t="s">
        <v>383</v>
      </c>
      <c r="Q47" s="120"/>
      <c r="R47" s="119" t="s">
        <v>382</v>
      </c>
      <c r="S47" s="120"/>
      <c r="T47" s="119" t="s">
        <v>382</v>
      </c>
      <c r="U47" s="120"/>
      <c r="V47" s="119" t="s">
        <v>384</v>
      </c>
      <c r="W47" s="120"/>
      <c r="X47" s="119" t="s">
        <v>385</v>
      </c>
      <c r="Y47" s="120"/>
      <c r="Z47" s="119" t="s">
        <v>385</v>
      </c>
      <c r="AA47" s="120"/>
      <c r="AB47" s="119" t="s">
        <v>386</v>
      </c>
      <c r="AC47" s="120"/>
      <c r="AD47" s="119" t="s">
        <v>385</v>
      </c>
      <c r="AE47" s="120"/>
      <c r="AF47" s="119" t="s">
        <v>387</v>
      </c>
      <c r="AG47" s="120"/>
      <c r="AH47" s="119" t="s">
        <v>385</v>
      </c>
      <c r="AI47" s="120"/>
      <c r="AJ47" s="119" t="s">
        <v>388</v>
      </c>
      <c r="AK47" s="120"/>
      <c r="AL47" s="119" t="s">
        <v>389</v>
      </c>
      <c r="AM47" s="120"/>
      <c r="AN47" s="119" t="s">
        <v>390</v>
      </c>
      <c r="AO47" s="120"/>
      <c r="AP47" s="119" t="s">
        <v>385</v>
      </c>
      <c r="AQ47" s="120"/>
      <c r="AR47" s="119" t="s">
        <v>391</v>
      </c>
      <c r="AS47" s="120"/>
      <c r="AT47" s="119" t="s">
        <v>392</v>
      </c>
      <c r="AU47" s="120"/>
      <c r="AV47" s="119" t="s">
        <v>393</v>
      </c>
      <c r="AW47" s="120"/>
      <c r="AX47" s="119" t="s">
        <v>394</v>
      </c>
      <c r="AY47" s="120"/>
      <c r="AZ47" s="119" t="s">
        <v>395</v>
      </c>
      <c r="BA47" s="120"/>
      <c r="BB47" s="119" t="s">
        <v>396</v>
      </c>
      <c r="BC47" s="120"/>
      <c r="BD47" s="119" t="s">
        <v>380</v>
      </c>
      <c r="BE47" s="120"/>
      <c r="BF47" s="119">
        <v>0</v>
      </c>
      <c r="BG47" s="120"/>
      <c r="BH47" s="119" t="s">
        <v>397</v>
      </c>
      <c r="BI47" s="120"/>
      <c r="BJ47" s="119" t="s">
        <v>380</v>
      </c>
      <c r="BK47" s="120"/>
      <c r="BL47" s="119" t="s">
        <v>398</v>
      </c>
      <c r="BM47" s="120"/>
      <c r="BN47" s="119" t="s">
        <v>399</v>
      </c>
      <c r="BO47" s="120"/>
      <c r="BP47" s="119" t="s">
        <v>400</v>
      </c>
      <c r="BQ47" s="120"/>
      <c r="BR47" s="119" t="s">
        <v>401</v>
      </c>
      <c r="BS47" s="120"/>
      <c r="BT47" s="119" t="s">
        <v>402</v>
      </c>
      <c r="BU47" s="120"/>
      <c r="BV47" s="119" t="s">
        <v>403</v>
      </c>
      <c r="BW47" s="120"/>
      <c r="BX47" s="119" t="s">
        <v>404</v>
      </c>
      <c r="BY47" s="120"/>
      <c r="BZ47" s="119" t="s">
        <v>405</v>
      </c>
      <c r="CA47" s="120"/>
      <c r="CB47" s="119" t="s">
        <v>406</v>
      </c>
      <c r="CC47" s="120"/>
      <c r="CD47" s="119" t="s">
        <v>407</v>
      </c>
      <c r="CE47" s="120"/>
      <c r="CF47" s="119" t="s">
        <v>408</v>
      </c>
      <c r="CG47" s="120"/>
      <c r="CH47" s="119" t="s">
        <v>385</v>
      </c>
      <c r="CI47" s="120"/>
      <c r="CJ47" s="119" t="s">
        <v>409</v>
      </c>
      <c r="CK47" s="120"/>
      <c r="CL47" s="119" t="s">
        <v>380</v>
      </c>
      <c r="CM47" s="120"/>
      <c r="CN47" s="119" t="s">
        <v>380</v>
      </c>
      <c r="CO47" s="120"/>
      <c r="CP47" s="119" t="s">
        <v>380</v>
      </c>
      <c r="CQ47" s="120"/>
      <c r="CR47" s="119" t="s">
        <v>410</v>
      </c>
      <c r="CS47" s="120"/>
      <c r="CT47" s="119" t="s">
        <v>385</v>
      </c>
      <c r="CU47" s="120"/>
      <c r="CV47" s="119" t="s">
        <v>411</v>
      </c>
      <c r="CW47" s="120"/>
      <c r="CX47" s="119" t="s">
        <v>412</v>
      </c>
      <c r="CY47" s="120"/>
      <c r="CZ47" s="119" t="s">
        <v>398</v>
      </c>
      <c r="DA47" s="120"/>
      <c r="DB47" s="119"/>
      <c r="DC47" s="120"/>
      <c r="DD47" s="119" t="s">
        <v>385</v>
      </c>
      <c r="DE47" s="120"/>
      <c r="DF47" s="119" t="s">
        <v>413</v>
      </c>
      <c r="DG47" s="120"/>
      <c r="DH47" s="119" t="s">
        <v>414</v>
      </c>
      <c r="DI47" s="120"/>
      <c r="DJ47" s="119" t="s">
        <v>415</v>
      </c>
      <c r="DK47" s="120"/>
      <c r="DL47" s="119" t="s">
        <v>416</v>
      </c>
      <c r="DM47" s="120"/>
      <c r="DN47" s="119" t="s">
        <v>417</v>
      </c>
      <c r="DO47" s="120"/>
      <c r="DP47" s="119" t="s">
        <v>418</v>
      </c>
      <c r="DQ47" s="120"/>
      <c r="DR47" s="119" t="s">
        <v>419</v>
      </c>
      <c r="DS47" s="120"/>
      <c r="DT47" s="119" t="s">
        <v>420</v>
      </c>
      <c r="DU47" s="120"/>
      <c r="DV47" s="119" t="s">
        <v>421</v>
      </c>
      <c r="DW47" s="120"/>
      <c r="DX47" s="119">
        <v>0</v>
      </c>
      <c r="DY47" s="120"/>
      <c r="DZ47" s="119" t="s">
        <v>422</v>
      </c>
      <c r="EA47" s="120"/>
      <c r="EB47" s="119" t="s">
        <v>423</v>
      </c>
      <c r="EC47" s="120"/>
      <c r="ED47" s="119" t="s">
        <v>424</v>
      </c>
      <c r="EE47" s="120"/>
      <c r="EF47" s="119"/>
      <c r="EG47" s="120"/>
      <c r="EH47" s="119" t="s">
        <v>414</v>
      </c>
      <c r="EI47" s="120"/>
      <c r="EJ47" s="119" t="s">
        <v>421</v>
      </c>
      <c r="EK47" s="120"/>
      <c r="EL47" s="119" t="s">
        <v>385</v>
      </c>
      <c r="EM47" s="120"/>
      <c r="EN47" s="119" t="s">
        <v>425</v>
      </c>
      <c r="EO47" s="120"/>
      <c r="EP47" s="119"/>
      <c r="EQ47" s="120"/>
      <c r="ER47" s="119" t="s">
        <v>426</v>
      </c>
      <c r="ES47" s="120"/>
      <c r="ET47" s="119" t="s">
        <v>427</v>
      </c>
      <c r="EU47" s="120"/>
      <c r="EV47" s="119" t="s">
        <v>428</v>
      </c>
      <c r="EW47" s="120"/>
      <c r="EX47" s="119" t="s">
        <v>382</v>
      </c>
      <c r="EY47" s="120"/>
      <c r="EZ47" s="119" t="s">
        <v>429</v>
      </c>
      <c r="FA47" s="120"/>
      <c r="FB47" s="119" t="s">
        <v>430</v>
      </c>
      <c r="FC47" s="120"/>
      <c r="FD47" s="119" t="s">
        <v>380</v>
      </c>
      <c r="FE47" s="120"/>
      <c r="FF47" s="119" t="s">
        <v>431</v>
      </c>
      <c r="FG47" s="120"/>
      <c r="FH47" s="119" t="s">
        <v>432</v>
      </c>
      <c r="FI47" s="120"/>
      <c r="FJ47" s="119" t="s">
        <v>433</v>
      </c>
      <c r="FK47" s="120"/>
      <c r="FL47" s="119"/>
      <c r="FM47" s="120"/>
      <c r="FN47" s="119" t="s">
        <v>434</v>
      </c>
      <c r="FO47" s="120"/>
      <c r="FP47" s="119" t="s">
        <v>435</v>
      </c>
      <c r="FQ47" s="120"/>
      <c r="FR47" s="119" t="s">
        <v>436</v>
      </c>
      <c r="FS47" s="120"/>
      <c r="FT47" s="119" t="s">
        <v>437</v>
      </c>
      <c r="FU47" s="120"/>
      <c r="FV47" s="119" t="s">
        <v>438</v>
      </c>
      <c r="FW47" s="120"/>
      <c r="FX47" s="119" t="s">
        <v>439</v>
      </c>
      <c r="FY47" s="120"/>
      <c r="FZ47" s="119" t="s">
        <v>440</v>
      </c>
      <c r="GA47" s="120"/>
      <c r="GB47" s="119" t="s">
        <v>441</v>
      </c>
      <c r="GC47" s="120"/>
      <c r="GD47" s="119" t="s">
        <v>442</v>
      </c>
      <c r="GE47" s="120"/>
      <c r="GF47" s="119" t="s">
        <v>443</v>
      </c>
      <c r="GG47" s="120"/>
      <c r="GH47" s="119" t="s">
        <v>444</v>
      </c>
      <c r="GI47" s="120"/>
      <c r="GJ47" s="119" t="s">
        <v>445</v>
      </c>
      <c r="GK47" s="120"/>
      <c r="GL47" s="119" t="s">
        <v>446</v>
      </c>
      <c r="GM47" s="120"/>
      <c r="GN47" s="119" t="s">
        <v>447</v>
      </c>
      <c r="GO47" s="120"/>
      <c r="GP47" s="119" t="s">
        <v>448</v>
      </c>
      <c r="GQ47" s="120"/>
      <c r="GR47" s="119" t="s">
        <v>449</v>
      </c>
      <c r="GS47" s="120"/>
      <c r="GT47" s="119" t="s">
        <v>450</v>
      </c>
      <c r="GU47" s="120"/>
      <c r="GV47" s="119" t="s">
        <v>451</v>
      </c>
      <c r="GW47" s="120"/>
      <c r="GX47" s="119" t="s">
        <v>385</v>
      </c>
      <c r="GY47" s="120"/>
      <c r="GZ47" s="119" t="s">
        <v>380</v>
      </c>
      <c r="HA47" s="120"/>
    </row>
    <row r="48" spans="1:209" ht="17.25" customHeight="1" thickBot="1" x14ac:dyDescent="0.35">
      <c r="A48" s="126" t="s">
        <v>452</v>
      </c>
      <c r="B48" s="127"/>
      <c r="C48" s="128"/>
      <c r="D48" s="121">
        <v>27625673.16118421</v>
      </c>
      <c r="E48" s="122"/>
      <c r="F48" s="121">
        <v>23119628.122807018</v>
      </c>
      <c r="G48" s="122"/>
      <c r="H48" s="123">
        <v>17888872.734223302</v>
      </c>
      <c r="I48" s="124"/>
      <c r="J48" s="123">
        <v>20800634.367262725</v>
      </c>
      <c r="K48" s="124"/>
      <c r="L48" s="123">
        <v>47656889.621513948</v>
      </c>
      <c r="M48" s="124"/>
      <c r="N48" s="123">
        <v>18532882.473011363</v>
      </c>
      <c r="O48" s="124"/>
      <c r="P48" s="123">
        <v>29461641.365663324</v>
      </c>
      <c r="Q48" s="124"/>
      <c r="R48" s="123">
        <v>17979913.294628322</v>
      </c>
      <c r="S48" s="124"/>
      <c r="T48" s="123">
        <v>20057649.233042311</v>
      </c>
      <c r="U48" s="124"/>
      <c r="V48" s="123">
        <v>20957367.510253318</v>
      </c>
      <c r="W48" s="124"/>
      <c r="X48" s="123">
        <v>22929709.17657046</v>
      </c>
      <c r="Y48" s="124"/>
      <c r="Z48" s="123">
        <v>20376682.466666665</v>
      </c>
      <c r="AA48" s="124"/>
      <c r="AB48" s="123">
        <v>25114395.752176438</v>
      </c>
      <c r="AC48" s="124"/>
      <c r="AD48" s="123">
        <v>16513357.530474041</v>
      </c>
      <c r="AE48" s="124"/>
      <c r="AF48" s="123">
        <v>14994673.600622891</v>
      </c>
      <c r="AG48" s="124"/>
      <c r="AH48" s="123">
        <v>25855317.282801036</v>
      </c>
      <c r="AI48" s="124"/>
      <c r="AJ48" s="123">
        <v>42191724.460784316</v>
      </c>
      <c r="AK48" s="124"/>
      <c r="AL48" s="123">
        <v>34749153.749128923</v>
      </c>
      <c r="AM48" s="124"/>
      <c r="AN48" s="123">
        <v>28617711.547826085</v>
      </c>
      <c r="AO48" s="124"/>
      <c r="AP48" s="123">
        <v>13943234.557858376</v>
      </c>
      <c r="AQ48" s="124"/>
      <c r="AR48" s="123">
        <v>19454290.839407042</v>
      </c>
      <c r="AS48" s="124"/>
      <c r="AT48" s="123">
        <v>19514934.903973509</v>
      </c>
      <c r="AU48" s="124"/>
      <c r="AV48" s="123">
        <v>33284900.897826087</v>
      </c>
      <c r="AW48" s="124"/>
      <c r="AX48" s="123">
        <v>62740707.978510745</v>
      </c>
      <c r="AY48" s="124"/>
      <c r="AZ48" s="123">
        <v>22797887.18068536</v>
      </c>
      <c r="BA48" s="124"/>
      <c r="BB48" s="123">
        <v>17188766.853853855</v>
      </c>
      <c r="BC48" s="124"/>
      <c r="BD48" s="123">
        <v>27134059.542914171</v>
      </c>
      <c r="BE48" s="124"/>
      <c r="BF48" s="123">
        <v>17546887.060171921</v>
      </c>
      <c r="BG48" s="124"/>
      <c r="BH48" s="123">
        <v>16890998.462669682</v>
      </c>
      <c r="BI48" s="124"/>
      <c r="BJ48" s="123">
        <v>16857461.982352942</v>
      </c>
      <c r="BK48" s="124"/>
      <c r="BL48" s="123">
        <v>36866821.03590896</v>
      </c>
      <c r="BM48" s="124"/>
      <c r="BN48" s="123">
        <v>17265995.201405153</v>
      </c>
      <c r="BO48" s="124"/>
      <c r="BP48" s="123">
        <v>21761908.289085545</v>
      </c>
      <c r="BQ48" s="124"/>
      <c r="BR48" s="123">
        <v>19547222.478177149</v>
      </c>
      <c r="BS48" s="124"/>
      <c r="BT48" s="123">
        <v>31618879.404745989</v>
      </c>
      <c r="BU48" s="124"/>
      <c r="BV48" s="123">
        <v>22036126.716981132</v>
      </c>
      <c r="BW48" s="124"/>
      <c r="BX48" s="123">
        <v>19440967.368932039</v>
      </c>
      <c r="BY48" s="124"/>
      <c r="BZ48" s="123">
        <v>32893658.087871287</v>
      </c>
      <c r="CA48" s="124"/>
      <c r="CB48" s="123">
        <v>34991514.271467268</v>
      </c>
      <c r="CC48" s="124"/>
      <c r="CD48" s="123">
        <v>16125648.886319846</v>
      </c>
      <c r="CE48" s="124"/>
      <c r="CF48" s="123">
        <v>22108075.471830986</v>
      </c>
      <c r="CG48" s="124"/>
      <c r="CH48" s="123">
        <v>15410712.799648507</v>
      </c>
      <c r="CI48" s="124"/>
      <c r="CJ48" s="123">
        <v>31915116.995621473</v>
      </c>
      <c r="CK48" s="124"/>
      <c r="CL48" s="123">
        <v>15512162.013204226</v>
      </c>
      <c r="CM48" s="124"/>
      <c r="CN48" s="123">
        <v>15333309.553802008</v>
      </c>
      <c r="CO48" s="124"/>
      <c r="CP48" s="123">
        <v>13582440.384328358</v>
      </c>
      <c r="CQ48" s="124"/>
      <c r="CR48" s="123">
        <v>29730474.088597689</v>
      </c>
      <c r="CS48" s="124"/>
      <c r="CT48" s="123">
        <v>19629664.810405202</v>
      </c>
      <c r="CU48" s="124"/>
      <c r="CV48" s="123">
        <v>40671536.232246183</v>
      </c>
      <c r="CW48" s="124"/>
      <c r="CX48" s="123">
        <v>30196989.322671685</v>
      </c>
      <c r="CY48" s="124"/>
      <c r="CZ48" s="123">
        <v>49873307.455670998</v>
      </c>
      <c r="DA48" s="124"/>
      <c r="DB48" s="123">
        <v>14835025.944444444</v>
      </c>
      <c r="DC48" s="124"/>
      <c r="DD48" s="123">
        <v>14916298.791075051</v>
      </c>
      <c r="DE48" s="124"/>
      <c r="DF48" s="123">
        <v>14121263.814550642</v>
      </c>
      <c r="DG48" s="124"/>
      <c r="DH48" s="123">
        <v>68447488.15245901</v>
      </c>
      <c r="DI48" s="124"/>
      <c r="DJ48" s="123">
        <v>51326370.857697882</v>
      </c>
      <c r="DK48" s="124"/>
      <c r="DL48" s="123">
        <v>16713732.758366421</v>
      </c>
      <c r="DM48" s="124"/>
      <c r="DN48" s="123">
        <v>41148527.926521741</v>
      </c>
      <c r="DO48" s="124"/>
      <c r="DP48" s="123">
        <v>23402078.028119508</v>
      </c>
      <c r="DQ48" s="124"/>
      <c r="DR48" s="123">
        <v>37157889.506242782</v>
      </c>
      <c r="DS48" s="124"/>
      <c r="DT48" s="123">
        <v>14742353.781514831</v>
      </c>
      <c r="DU48" s="124"/>
      <c r="DV48" s="123">
        <v>36257436.480225988</v>
      </c>
      <c r="DW48" s="124"/>
      <c r="DX48" s="123">
        <v>18177828.635416668</v>
      </c>
      <c r="DY48" s="124"/>
      <c r="DZ48" s="123">
        <v>20109702.395348836</v>
      </c>
      <c r="EA48" s="124"/>
      <c r="EB48" s="123">
        <v>21753850.181964573</v>
      </c>
      <c r="EC48" s="124"/>
      <c r="ED48" s="123">
        <v>23521483.19961977</v>
      </c>
      <c r="EE48" s="124"/>
      <c r="EF48" s="123"/>
      <c r="EG48" s="124"/>
      <c r="EH48" s="123">
        <v>60912688.931147538</v>
      </c>
      <c r="EI48" s="124"/>
      <c r="EJ48" s="123">
        <v>37621074.946327686</v>
      </c>
      <c r="EK48" s="124"/>
      <c r="EL48" s="123">
        <v>15682473.129300119</v>
      </c>
      <c r="EM48" s="124"/>
      <c r="EN48" s="123">
        <v>31559481.927501071</v>
      </c>
      <c r="EO48" s="124"/>
      <c r="EP48" s="123">
        <v>14365843.714851486</v>
      </c>
      <c r="EQ48" s="124"/>
      <c r="ER48" s="123">
        <v>30760009.061578706</v>
      </c>
      <c r="ES48" s="124"/>
      <c r="ET48" s="123">
        <v>31243146.869754508</v>
      </c>
      <c r="EU48" s="124"/>
      <c r="EV48" s="123">
        <v>42212570.977321051</v>
      </c>
      <c r="EW48" s="124"/>
      <c r="EX48" s="123">
        <v>17598671.962352943</v>
      </c>
      <c r="EY48" s="124"/>
      <c r="EZ48" s="123">
        <v>19808190.948392857</v>
      </c>
      <c r="FA48" s="124"/>
      <c r="FB48" s="123">
        <v>20434845.336645111</v>
      </c>
      <c r="FC48" s="124"/>
      <c r="FD48" s="123">
        <v>14985526.906063193</v>
      </c>
      <c r="FE48" s="124"/>
      <c r="FF48" s="123">
        <v>21776887.513449185</v>
      </c>
      <c r="FG48" s="124"/>
      <c r="FH48" s="123">
        <v>38996219.075345173</v>
      </c>
      <c r="FI48" s="124"/>
      <c r="FJ48" s="123">
        <v>15256108.813387424</v>
      </c>
      <c r="FK48" s="124"/>
      <c r="FL48" s="123">
        <v>27844440.465045299</v>
      </c>
      <c r="FM48" s="124"/>
      <c r="FN48" s="123">
        <v>216361785.03846154</v>
      </c>
      <c r="FO48" s="124"/>
      <c r="FP48" s="123">
        <v>18563843.667209115</v>
      </c>
      <c r="FQ48" s="124"/>
      <c r="FR48" s="123">
        <v>145638416.32999998</v>
      </c>
      <c r="FS48" s="124"/>
      <c r="FT48" s="123">
        <v>20319591.749840964</v>
      </c>
      <c r="FU48" s="124"/>
      <c r="FV48" s="123">
        <v>27536040.736259025</v>
      </c>
      <c r="FW48" s="124"/>
      <c r="FX48" s="123">
        <v>15514670.753033062</v>
      </c>
      <c r="FY48" s="124"/>
      <c r="FZ48" s="123">
        <v>30677604.363780029</v>
      </c>
      <c r="GA48" s="124"/>
      <c r="GB48" s="123">
        <v>30688810.561646987</v>
      </c>
      <c r="GC48" s="124"/>
      <c r="GD48" s="123">
        <v>33555982.11358054</v>
      </c>
      <c r="GE48" s="124"/>
      <c r="GF48" s="123">
        <v>20892702.777980197</v>
      </c>
      <c r="GG48" s="124"/>
      <c r="GH48" s="123">
        <v>15042272.117916467</v>
      </c>
      <c r="GI48" s="124"/>
      <c r="GJ48" s="123">
        <v>21210413.603240892</v>
      </c>
      <c r="GK48" s="124"/>
      <c r="GL48" s="123">
        <v>17466364.81439805</v>
      </c>
      <c r="GM48" s="124"/>
      <c r="GN48" s="123">
        <v>27611084.411125049</v>
      </c>
      <c r="GO48" s="124"/>
      <c r="GP48" s="123">
        <v>25382103.226557918</v>
      </c>
      <c r="GQ48" s="124"/>
      <c r="GR48" s="123">
        <v>29006809.945380125</v>
      </c>
      <c r="GS48" s="124"/>
      <c r="GT48" s="123">
        <v>30688810.561646987</v>
      </c>
      <c r="GU48" s="124"/>
      <c r="GV48" s="123">
        <v>24004192.933479648</v>
      </c>
      <c r="GW48" s="124"/>
      <c r="GX48" s="123">
        <v>14917130.086022714</v>
      </c>
      <c r="GY48" s="124"/>
      <c r="GZ48" s="123">
        <v>14270221.619375862</v>
      </c>
      <c r="HA48" s="124"/>
    </row>
  </sheetData>
  <mergeCells count="1339">
    <mergeCell ref="GR48:GS48"/>
    <mergeCell ref="GT48:GU48"/>
    <mergeCell ref="GV48:GW48"/>
    <mergeCell ref="GX48:GY48"/>
    <mergeCell ref="GZ48:HA48"/>
    <mergeCell ref="GF48:GG48"/>
    <mergeCell ref="GH48:GI48"/>
    <mergeCell ref="GJ48:GK48"/>
    <mergeCell ref="GL48:GM48"/>
    <mergeCell ref="GN48:GO48"/>
    <mergeCell ref="GP48:GQ48"/>
    <mergeCell ref="FT48:FU48"/>
    <mergeCell ref="FV48:FW48"/>
    <mergeCell ref="FX48:FY48"/>
    <mergeCell ref="FZ48:GA48"/>
    <mergeCell ref="GB48:GC48"/>
    <mergeCell ref="GD48:GE48"/>
    <mergeCell ref="FH48:FI48"/>
    <mergeCell ref="FJ48:FK48"/>
    <mergeCell ref="FL48:FM48"/>
    <mergeCell ref="FN48:FO48"/>
    <mergeCell ref="FP48:FQ48"/>
    <mergeCell ref="FR48:FS48"/>
    <mergeCell ref="EV48:EW48"/>
    <mergeCell ref="EX48:EY48"/>
    <mergeCell ref="EZ48:FA48"/>
    <mergeCell ref="FB48:FC48"/>
    <mergeCell ref="FD48:FE48"/>
    <mergeCell ref="FF48:FG48"/>
    <mergeCell ref="EJ48:EK48"/>
    <mergeCell ref="EL48:EM48"/>
    <mergeCell ref="EN48:EO48"/>
    <mergeCell ref="EP48:EQ48"/>
    <mergeCell ref="ER48:ES48"/>
    <mergeCell ref="ET48:EU48"/>
    <mergeCell ref="DX48:DY48"/>
    <mergeCell ref="DZ48:EA48"/>
    <mergeCell ref="EB48:EC48"/>
    <mergeCell ref="ED48:EE48"/>
    <mergeCell ref="EF48:EG48"/>
    <mergeCell ref="EH48:EI48"/>
    <mergeCell ref="DL48:DM48"/>
    <mergeCell ref="DN48:DO48"/>
    <mergeCell ref="DP48:DQ48"/>
    <mergeCell ref="DR48:DS48"/>
    <mergeCell ref="DT48:DU48"/>
    <mergeCell ref="DV48:DW48"/>
    <mergeCell ref="CZ48:DA48"/>
    <mergeCell ref="DB48:DC48"/>
    <mergeCell ref="DD48:DE48"/>
    <mergeCell ref="DF48:DG48"/>
    <mergeCell ref="DH48:DI48"/>
    <mergeCell ref="DJ48:DK48"/>
    <mergeCell ref="CN48:CO48"/>
    <mergeCell ref="CP48:CQ48"/>
    <mergeCell ref="CR48:CS48"/>
    <mergeCell ref="CT48:CU48"/>
    <mergeCell ref="CV48:CW48"/>
    <mergeCell ref="CX48:CY48"/>
    <mergeCell ref="CB48:CC48"/>
    <mergeCell ref="CD48:CE48"/>
    <mergeCell ref="CF48:CG48"/>
    <mergeCell ref="CH48:CI48"/>
    <mergeCell ref="CJ48:CK48"/>
    <mergeCell ref="CL48:CM48"/>
    <mergeCell ref="BP48:BQ48"/>
    <mergeCell ref="BR48:BS48"/>
    <mergeCell ref="BT48:BU48"/>
    <mergeCell ref="BV48:BW48"/>
    <mergeCell ref="BX48:BY48"/>
    <mergeCell ref="BZ48:CA48"/>
    <mergeCell ref="BD48:BE48"/>
    <mergeCell ref="BF48:BG48"/>
    <mergeCell ref="BH48:BI48"/>
    <mergeCell ref="BJ48:BK48"/>
    <mergeCell ref="BL48:BM48"/>
    <mergeCell ref="BN48:BO48"/>
    <mergeCell ref="AR48:AS48"/>
    <mergeCell ref="AT48:AU48"/>
    <mergeCell ref="AV48:AW48"/>
    <mergeCell ref="AX48:AY48"/>
    <mergeCell ref="AZ48:BA48"/>
    <mergeCell ref="BB48:BC48"/>
    <mergeCell ref="AF48:AG48"/>
    <mergeCell ref="AH48:AI48"/>
    <mergeCell ref="AJ48:AK48"/>
    <mergeCell ref="AL48:AM48"/>
    <mergeCell ref="AN48:AO48"/>
    <mergeCell ref="AP48:AQ48"/>
    <mergeCell ref="T48:U48"/>
    <mergeCell ref="V48:W48"/>
    <mergeCell ref="X48:Y48"/>
    <mergeCell ref="Z48:AA48"/>
    <mergeCell ref="AB48:AC48"/>
    <mergeCell ref="AD48:AE48"/>
    <mergeCell ref="GZ47:HA47"/>
    <mergeCell ref="D48:E48"/>
    <mergeCell ref="F48:G48"/>
    <mergeCell ref="H48:I48"/>
    <mergeCell ref="J48:K48"/>
    <mergeCell ref="L48:M48"/>
    <mergeCell ref="N48:O48"/>
    <mergeCell ref="P48:Q48"/>
    <mergeCell ref="R48:S48"/>
    <mergeCell ref="GN47:GO47"/>
    <mergeCell ref="GP47:GQ47"/>
    <mergeCell ref="GR47:GS47"/>
    <mergeCell ref="GT47:GU47"/>
    <mergeCell ref="GV47:GW47"/>
    <mergeCell ref="GX47:GY47"/>
    <mergeCell ref="GB47:GC47"/>
    <mergeCell ref="GD47:GE47"/>
    <mergeCell ref="GF47:GG47"/>
    <mergeCell ref="GH47:GI47"/>
    <mergeCell ref="GJ47:GK47"/>
    <mergeCell ref="GL47:GM47"/>
    <mergeCell ref="FP47:FQ47"/>
    <mergeCell ref="FR47:FS47"/>
    <mergeCell ref="FT47:FU47"/>
    <mergeCell ref="FV47:FW47"/>
    <mergeCell ref="FX47:FY47"/>
    <mergeCell ref="FZ47:GA47"/>
    <mergeCell ref="FD47:FE47"/>
    <mergeCell ref="FF47:FG47"/>
    <mergeCell ref="FH47:FI47"/>
    <mergeCell ref="FJ47:FK47"/>
    <mergeCell ref="FL47:FM47"/>
    <mergeCell ref="FN47:FO47"/>
    <mergeCell ref="ER47:ES47"/>
    <mergeCell ref="ET47:EU47"/>
    <mergeCell ref="EV47:EW47"/>
    <mergeCell ref="EX47:EY47"/>
    <mergeCell ref="EZ47:FA47"/>
    <mergeCell ref="FB47:FC47"/>
    <mergeCell ref="EF47:EG47"/>
    <mergeCell ref="EH47:EI47"/>
    <mergeCell ref="EJ47:EK47"/>
    <mergeCell ref="EL47:EM47"/>
    <mergeCell ref="EN47:EO47"/>
    <mergeCell ref="EP47:EQ47"/>
    <mergeCell ref="DT47:DU47"/>
    <mergeCell ref="DV47:DW47"/>
    <mergeCell ref="DX47:DY47"/>
    <mergeCell ref="DZ47:EA47"/>
    <mergeCell ref="EB47:EC47"/>
    <mergeCell ref="ED47:EE47"/>
    <mergeCell ref="DH47:DI47"/>
    <mergeCell ref="DJ47:DK47"/>
    <mergeCell ref="DL47:DM47"/>
    <mergeCell ref="DN47:DO47"/>
    <mergeCell ref="DP47:DQ47"/>
    <mergeCell ref="DR47:DS47"/>
    <mergeCell ref="CV47:CW47"/>
    <mergeCell ref="CX47:CY47"/>
    <mergeCell ref="CZ47:DA47"/>
    <mergeCell ref="DB47:DC47"/>
    <mergeCell ref="DD47:DE47"/>
    <mergeCell ref="DF47:DG47"/>
    <mergeCell ref="CJ47:CK47"/>
    <mergeCell ref="CL47:CM47"/>
    <mergeCell ref="CN47:CO47"/>
    <mergeCell ref="CP47:CQ47"/>
    <mergeCell ref="CR47:CS47"/>
    <mergeCell ref="CT47:CU47"/>
    <mergeCell ref="BX47:BY47"/>
    <mergeCell ref="BZ47:CA47"/>
    <mergeCell ref="CB47:CC47"/>
    <mergeCell ref="CD47:CE47"/>
    <mergeCell ref="CF47:CG47"/>
    <mergeCell ref="CH47:CI47"/>
    <mergeCell ref="BL47:BM47"/>
    <mergeCell ref="BN47:BO47"/>
    <mergeCell ref="BP47:BQ47"/>
    <mergeCell ref="BR47:BS47"/>
    <mergeCell ref="BT47:BU47"/>
    <mergeCell ref="BV47:BW47"/>
    <mergeCell ref="AZ47:BA47"/>
    <mergeCell ref="BB47:BC47"/>
    <mergeCell ref="BD47:BE47"/>
    <mergeCell ref="BF47:BG47"/>
    <mergeCell ref="BH47:BI47"/>
    <mergeCell ref="BJ47:BK47"/>
    <mergeCell ref="AN47:AO47"/>
    <mergeCell ref="AP47:AQ47"/>
    <mergeCell ref="AR47:AS47"/>
    <mergeCell ref="AT47:AU47"/>
    <mergeCell ref="AV47:AW47"/>
    <mergeCell ref="AX47:AY47"/>
    <mergeCell ref="AB47:AC47"/>
    <mergeCell ref="AD47:AE47"/>
    <mergeCell ref="AF47:AG47"/>
    <mergeCell ref="AH47:AI47"/>
    <mergeCell ref="AJ47:AK47"/>
    <mergeCell ref="AL47:AM47"/>
    <mergeCell ref="P47:Q47"/>
    <mergeCell ref="R47:S47"/>
    <mergeCell ref="T47:U47"/>
    <mergeCell ref="V47:W47"/>
    <mergeCell ref="X47:Y47"/>
    <mergeCell ref="Z47:AA47"/>
    <mergeCell ref="GT46:GU46"/>
    <mergeCell ref="GV46:GW46"/>
    <mergeCell ref="GX46:GY46"/>
    <mergeCell ref="GZ46:HA46"/>
    <mergeCell ref="D47:E47"/>
    <mergeCell ref="F47:G47"/>
    <mergeCell ref="H47:I47"/>
    <mergeCell ref="J47:K47"/>
    <mergeCell ref="L47:M47"/>
    <mergeCell ref="N47:O47"/>
    <mergeCell ref="GH46:GI46"/>
    <mergeCell ref="GJ46:GK46"/>
    <mergeCell ref="GL46:GM46"/>
    <mergeCell ref="GN46:GO46"/>
    <mergeCell ref="GP46:GQ46"/>
    <mergeCell ref="GR46:GS46"/>
    <mergeCell ref="FV46:FW46"/>
    <mergeCell ref="FX46:FY46"/>
    <mergeCell ref="FZ46:GA46"/>
    <mergeCell ref="GB46:GC46"/>
    <mergeCell ref="GD46:GE46"/>
    <mergeCell ref="GF46:GG46"/>
    <mergeCell ref="FJ46:FK46"/>
    <mergeCell ref="FL46:FM46"/>
    <mergeCell ref="FN46:FO46"/>
    <mergeCell ref="FP46:FQ46"/>
    <mergeCell ref="FR46:FS46"/>
    <mergeCell ref="FT46:FU46"/>
    <mergeCell ref="EX46:EY46"/>
    <mergeCell ref="EZ46:FA46"/>
    <mergeCell ref="FB46:FC46"/>
    <mergeCell ref="FD46:FE46"/>
    <mergeCell ref="FF46:FG46"/>
    <mergeCell ref="FH46:FI46"/>
    <mergeCell ref="EL46:EM46"/>
    <mergeCell ref="EN46:EO46"/>
    <mergeCell ref="EP46:EQ46"/>
    <mergeCell ref="ER46:ES46"/>
    <mergeCell ref="ET46:EU46"/>
    <mergeCell ref="EV46:EW46"/>
    <mergeCell ref="DZ46:EA46"/>
    <mergeCell ref="EB46:EC46"/>
    <mergeCell ref="ED46:EE46"/>
    <mergeCell ref="EF46:EG46"/>
    <mergeCell ref="EH46:EI46"/>
    <mergeCell ref="EJ46:EK46"/>
    <mergeCell ref="DN46:DO46"/>
    <mergeCell ref="DP46:DQ46"/>
    <mergeCell ref="DR46:DS46"/>
    <mergeCell ref="DT46:DU46"/>
    <mergeCell ref="DV46:DW46"/>
    <mergeCell ref="DX46:DY46"/>
    <mergeCell ref="DB46:DC46"/>
    <mergeCell ref="DD46:DE46"/>
    <mergeCell ref="DF46:DG46"/>
    <mergeCell ref="DH46:DI46"/>
    <mergeCell ref="DJ46:DK46"/>
    <mergeCell ref="DL46:DM46"/>
    <mergeCell ref="CP46:CQ46"/>
    <mergeCell ref="CR46:CS46"/>
    <mergeCell ref="CT46:CU46"/>
    <mergeCell ref="CV46:CW46"/>
    <mergeCell ref="CX46:CY46"/>
    <mergeCell ref="CZ46:DA46"/>
    <mergeCell ref="CD46:CE46"/>
    <mergeCell ref="CF46:CG46"/>
    <mergeCell ref="CH46:CI46"/>
    <mergeCell ref="CJ46:CK46"/>
    <mergeCell ref="CL46:CM46"/>
    <mergeCell ref="CN46:CO46"/>
    <mergeCell ref="BR46:BS46"/>
    <mergeCell ref="BT46:BU46"/>
    <mergeCell ref="BV46:BW46"/>
    <mergeCell ref="BX46:BY46"/>
    <mergeCell ref="BZ46:CA46"/>
    <mergeCell ref="CB46:CC46"/>
    <mergeCell ref="BF46:BG46"/>
    <mergeCell ref="BH46:BI46"/>
    <mergeCell ref="BJ46:BK46"/>
    <mergeCell ref="BL46:BM46"/>
    <mergeCell ref="BN46:BO46"/>
    <mergeCell ref="BP46:BQ46"/>
    <mergeCell ref="AT46:AU46"/>
    <mergeCell ref="AV46:AW46"/>
    <mergeCell ref="AX46:AY46"/>
    <mergeCell ref="AZ46:BA46"/>
    <mergeCell ref="BB46:BC46"/>
    <mergeCell ref="BD46:BE46"/>
    <mergeCell ref="AH46:AI46"/>
    <mergeCell ref="AJ46:AK46"/>
    <mergeCell ref="AL46:AM46"/>
    <mergeCell ref="AN46:AO46"/>
    <mergeCell ref="AP46:AQ46"/>
    <mergeCell ref="AR46:AS46"/>
    <mergeCell ref="V46:W46"/>
    <mergeCell ref="X46:Y46"/>
    <mergeCell ref="Z46:AA46"/>
    <mergeCell ref="AB46:AC46"/>
    <mergeCell ref="AD46:AE46"/>
    <mergeCell ref="AF46:AG46"/>
    <mergeCell ref="GZ45:HA45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GN45:GO45"/>
    <mergeCell ref="GP45:GQ45"/>
    <mergeCell ref="GR45:GS45"/>
    <mergeCell ref="GT45:GU45"/>
    <mergeCell ref="GV45:GW45"/>
    <mergeCell ref="GX45:GY45"/>
    <mergeCell ref="GB45:GC45"/>
    <mergeCell ref="GD45:GE45"/>
    <mergeCell ref="GF45:GG45"/>
    <mergeCell ref="GH45:GI45"/>
    <mergeCell ref="GJ45:GK45"/>
    <mergeCell ref="GL45:GM45"/>
    <mergeCell ref="FP45:FQ45"/>
    <mergeCell ref="FR45:FS45"/>
    <mergeCell ref="FT45:FU45"/>
    <mergeCell ref="FV45:FW45"/>
    <mergeCell ref="FX45:FY45"/>
    <mergeCell ref="FZ45:GA45"/>
    <mergeCell ref="FD45:FE45"/>
    <mergeCell ref="FF45:FG45"/>
    <mergeCell ref="FH45:FI45"/>
    <mergeCell ref="FJ45:FK45"/>
    <mergeCell ref="FL45:FM45"/>
    <mergeCell ref="FN45:FO45"/>
    <mergeCell ref="ER45:ES45"/>
    <mergeCell ref="ET45:EU45"/>
    <mergeCell ref="EV45:EW45"/>
    <mergeCell ref="EX45:EY45"/>
    <mergeCell ref="EZ45:FA45"/>
    <mergeCell ref="FB45:FC45"/>
    <mergeCell ref="EF45:EG45"/>
    <mergeCell ref="EH45:EI45"/>
    <mergeCell ref="EJ45:EK45"/>
    <mergeCell ref="EL45:EM45"/>
    <mergeCell ref="EN45:EO45"/>
    <mergeCell ref="EP45:EQ45"/>
    <mergeCell ref="DT45:DU45"/>
    <mergeCell ref="DV45:DW45"/>
    <mergeCell ref="DX45:DY45"/>
    <mergeCell ref="DZ45:EA45"/>
    <mergeCell ref="EB45:EC45"/>
    <mergeCell ref="ED45:EE45"/>
    <mergeCell ref="DH45:DI45"/>
    <mergeCell ref="DJ45:DK45"/>
    <mergeCell ref="DL45:DM45"/>
    <mergeCell ref="DN45:DO45"/>
    <mergeCell ref="DP45:DQ45"/>
    <mergeCell ref="DR45:DS45"/>
    <mergeCell ref="CV45:CW45"/>
    <mergeCell ref="CX45:CY45"/>
    <mergeCell ref="CZ45:DA45"/>
    <mergeCell ref="DB45:DC45"/>
    <mergeCell ref="DD45:DE45"/>
    <mergeCell ref="DF45:DG45"/>
    <mergeCell ref="CJ45:CK45"/>
    <mergeCell ref="CL45:CM45"/>
    <mergeCell ref="CN45:CO45"/>
    <mergeCell ref="CP45:CQ45"/>
    <mergeCell ref="CR45:CS45"/>
    <mergeCell ref="CT45:CU45"/>
    <mergeCell ref="BX45:BY45"/>
    <mergeCell ref="BZ45:CA45"/>
    <mergeCell ref="CB45:CC45"/>
    <mergeCell ref="CD45:CE45"/>
    <mergeCell ref="CF45:CG45"/>
    <mergeCell ref="CH45:CI45"/>
    <mergeCell ref="BL45:BM45"/>
    <mergeCell ref="BN45:BO45"/>
    <mergeCell ref="BP45:BQ45"/>
    <mergeCell ref="BR45:BS45"/>
    <mergeCell ref="BT45:BU45"/>
    <mergeCell ref="BV45:BW45"/>
    <mergeCell ref="AZ45:BA45"/>
    <mergeCell ref="BB45:BC45"/>
    <mergeCell ref="BD45:BE45"/>
    <mergeCell ref="BF45:BG45"/>
    <mergeCell ref="BH45:BI45"/>
    <mergeCell ref="BJ45:BK45"/>
    <mergeCell ref="AN45:AO45"/>
    <mergeCell ref="AP45:AQ45"/>
    <mergeCell ref="AR45:AS45"/>
    <mergeCell ref="AT45:AU45"/>
    <mergeCell ref="AV45:AW45"/>
    <mergeCell ref="AX45:AY45"/>
    <mergeCell ref="AB45:AC45"/>
    <mergeCell ref="AD45:AE45"/>
    <mergeCell ref="AF45:AG45"/>
    <mergeCell ref="AH45:AI45"/>
    <mergeCell ref="AJ45:AK45"/>
    <mergeCell ref="AL45:AM45"/>
    <mergeCell ref="P45:Q45"/>
    <mergeCell ref="R45:S45"/>
    <mergeCell ref="T45:U45"/>
    <mergeCell ref="V45:W45"/>
    <mergeCell ref="X45:Y45"/>
    <mergeCell ref="Z45:AA45"/>
    <mergeCell ref="GT44:GU44"/>
    <mergeCell ref="GV44:GW44"/>
    <mergeCell ref="GX44:GY44"/>
    <mergeCell ref="GZ44:HA44"/>
    <mergeCell ref="D45:E45"/>
    <mergeCell ref="F45:G45"/>
    <mergeCell ref="H45:I45"/>
    <mergeCell ref="J45:K45"/>
    <mergeCell ref="L45:M45"/>
    <mergeCell ref="N45:O45"/>
    <mergeCell ref="GH44:GI44"/>
    <mergeCell ref="GJ44:GK44"/>
    <mergeCell ref="GL44:GM44"/>
    <mergeCell ref="GN44:GO44"/>
    <mergeCell ref="GP44:GQ44"/>
    <mergeCell ref="GR44:GS44"/>
    <mergeCell ref="FV44:FW44"/>
    <mergeCell ref="FX44:FY44"/>
    <mergeCell ref="FZ44:GA44"/>
    <mergeCell ref="GB44:GC44"/>
    <mergeCell ref="GD44:GE44"/>
    <mergeCell ref="GF44:GG44"/>
    <mergeCell ref="FJ44:FK44"/>
    <mergeCell ref="FL44:FM44"/>
    <mergeCell ref="FN44:FO44"/>
    <mergeCell ref="FP44:FQ44"/>
    <mergeCell ref="FR44:FS44"/>
    <mergeCell ref="FT44:FU44"/>
    <mergeCell ref="EX44:EY44"/>
    <mergeCell ref="EZ44:FA44"/>
    <mergeCell ref="FB44:FC44"/>
    <mergeCell ref="FD44:FE44"/>
    <mergeCell ref="FF44:FG44"/>
    <mergeCell ref="FH44:FI44"/>
    <mergeCell ref="EL44:EM44"/>
    <mergeCell ref="EN44:EO44"/>
    <mergeCell ref="EP44:EQ44"/>
    <mergeCell ref="ER44:ES44"/>
    <mergeCell ref="ET44:EU44"/>
    <mergeCell ref="EV44:EW44"/>
    <mergeCell ref="DZ44:EA44"/>
    <mergeCell ref="EB44:EC44"/>
    <mergeCell ref="ED44:EE44"/>
    <mergeCell ref="EF44:EG44"/>
    <mergeCell ref="EH44:EI44"/>
    <mergeCell ref="EJ44:EK44"/>
    <mergeCell ref="DN44:DO44"/>
    <mergeCell ref="DP44:DQ44"/>
    <mergeCell ref="DR44:DS44"/>
    <mergeCell ref="DT44:DU44"/>
    <mergeCell ref="DV44:DW44"/>
    <mergeCell ref="DX44:DY44"/>
    <mergeCell ref="DB44:DC44"/>
    <mergeCell ref="DD44:DE44"/>
    <mergeCell ref="DF44:DG44"/>
    <mergeCell ref="DH44:DI44"/>
    <mergeCell ref="DJ44:DK44"/>
    <mergeCell ref="DL44:DM44"/>
    <mergeCell ref="CP44:CQ44"/>
    <mergeCell ref="CR44:CS44"/>
    <mergeCell ref="CT44:CU44"/>
    <mergeCell ref="CV44:CW44"/>
    <mergeCell ref="CX44:CY44"/>
    <mergeCell ref="CZ44:DA44"/>
    <mergeCell ref="CD44:CE44"/>
    <mergeCell ref="CF44:CG44"/>
    <mergeCell ref="CH44:CI44"/>
    <mergeCell ref="CJ44:CK44"/>
    <mergeCell ref="CL44:CM44"/>
    <mergeCell ref="CN44:CO44"/>
    <mergeCell ref="BR44:BS44"/>
    <mergeCell ref="BT44:BU44"/>
    <mergeCell ref="BV44:BW44"/>
    <mergeCell ref="BX44:BY44"/>
    <mergeCell ref="BZ44:CA44"/>
    <mergeCell ref="CB44:CC44"/>
    <mergeCell ref="BF44:BG44"/>
    <mergeCell ref="BH44:BI44"/>
    <mergeCell ref="BJ44:BK44"/>
    <mergeCell ref="BL44:BM44"/>
    <mergeCell ref="BN44:BO44"/>
    <mergeCell ref="BP44:BQ44"/>
    <mergeCell ref="AT44:AU44"/>
    <mergeCell ref="AV44:AW44"/>
    <mergeCell ref="AX44:AY44"/>
    <mergeCell ref="AZ44:BA44"/>
    <mergeCell ref="BB44:BC44"/>
    <mergeCell ref="BD44:BE44"/>
    <mergeCell ref="AH44:AI44"/>
    <mergeCell ref="AJ44:AK44"/>
    <mergeCell ref="AL44:AM44"/>
    <mergeCell ref="AN44:AO44"/>
    <mergeCell ref="AP44:AQ44"/>
    <mergeCell ref="AR44:AS44"/>
    <mergeCell ref="V44:W44"/>
    <mergeCell ref="X44:Y44"/>
    <mergeCell ref="Z44:AA44"/>
    <mergeCell ref="AB44:AC44"/>
    <mergeCell ref="AD44:AE44"/>
    <mergeCell ref="AF44:AG44"/>
    <mergeCell ref="GZ43:HA43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GN43:GO43"/>
    <mergeCell ref="GP43:GQ43"/>
    <mergeCell ref="GR43:GS43"/>
    <mergeCell ref="GT43:GU43"/>
    <mergeCell ref="GV43:GW43"/>
    <mergeCell ref="GX43:GY43"/>
    <mergeCell ref="GB43:GC43"/>
    <mergeCell ref="GD43:GE43"/>
    <mergeCell ref="GF43:GG43"/>
    <mergeCell ref="GH43:GI43"/>
    <mergeCell ref="GJ43:GK43"/>
    <mergeCell ref="GL43:GM43"/>
    <mergeCell ref="FP43:FQ43"/>
    <mergeCell ref="FR43:FS43"/>
    <mergeCell ref="FT43:FU43"/>
    <mergeCell ref="FV43:FW43"/>
    <mergeCell ref="FX43:FY43"/>
    <mergeCell ref="FZ43:GA43"/>
    <mergeCell ref="FD43:FE43"/>
    <mergeCell ref="FF43:FG43"/>
    <mergeCell ref="FH43:FI43"/>
    <mergeCell ref="FJ43:FK43"/>
    <mergeCell ref="FL43:FM43"/>
    <mergeCell ref="FN43:FO43"/>
    <mergeCell ref="ER43:ES43"/>
    <mergeCell ref="ET43:EU43"/>
    <mergeCell ref="EV43:EW43"/>
    <mergeCell ref="EX43:EY43"/>
    <mergeCell ref="EZ43:FA43"/>
    <mergeCell ref="FB43:FC43"/>
    <mergeCell ref="EF43:EG43"/>
    <mergeCell ref="EH43:EI43"/>
    <mergeCell ref="EJ43:EK43"/>
    <mergeCell ref="EL43:EM43"/>
    <mergeCell ref="EN43:EO43"/>
    <mergeCell ref="EP43:EQ43"/>
    <mergeCell ref="DT43:DU43"/>
    <mergeCell ref="DV43:DW43"/>
    <mergeCell ref="DX43:DY43"/>
    <mergeCell ref="DZ43:EA43"/>
    <mergeCell ref="EB43:EC43"/>
    <mergeCell ref="ED43:EE43"/>
    <mergeCell ref="DH43:DI43"/>
    <mergeCell ref="DJ43:DK43"/>
    <mergeCell ref="DL43:DM43"/>
    <mergeCell ref="DN43:DO43"/>
    <mergeCell ref="DP43:DQ43"/>
    <mergeCell ref="DR43:DS43"/>
    <mergeCell ref="CV43:CW43"/>
    <mergeCell ref="CX43:CY43"/>
    <mergeCell ref="CZ43:DA43"/>
    <mergeCell ref="DB43:DC43"/>
    <mergeCell ref="DD43:DE43"/>
    <mergeCell ref="DF43:DG43"/>
    <mergeCell ref="CJ43:CK43"/>
    <mergeCell ref="CL43:CM43"/>
    <mergeCell ref="CN43:CO43"/>
    <mergeCell ref="CP43:CQ43"/>
    <mergeCell ref="CR43:CS43"/>
    <mergeCell ref="CT43:CU43"/>
    <mergeCell ref="BX43:BY43"/>
    <mergeCell ref="BZ43:CA43"/>
    <mergeCell ref="CB43:CC43"/>
    <mergeCell ref="CD43:CE43"/>
    <mergeCell ref="CF43:CG43"/>
    <mergeCell ref="CH43:CI43"/>
    <mergeCell ref="BL43:BM43"/>
    <mergeCell ref="BN43:BO43"/>
    <mergeCell ref="BP43:BQ43"/>
    <mergeCell ref="BR43:BS43"/>
    <mergeCell ref="BT43:BU43"/>
    <mergeCell ref="BV43:BW43"/>
    <mergeCell ref="AZ43:BA43"/>
    <mergeCell ref="BB43:BC43"/>
    <mergeCell ref="BD43:BE43"/>
    <mergeCell ref="BF43:BG43"/>
    <mergeCell ref="BH43:BI43"/>
    <mergeCell ref="BJ43:BK43"/>
    <mergeCell ref="AN43:AO43"/>
    <mergeCell ref="AP43:AQ43"/>
    <mergeCell ref="AR43:AS43"/>
    <mergeCell ref="AT43:AU43"/>
    <mergeCell ref="AV43:AW43"/>
    <mergeCell ref="AX43:AY43"/>
    <mergeCell ref="AB43:AC43"/>
    <mergeCell ref="AD43:AE43"/>
    <mergeCell ref="AF43:AG43"/>
    <mergeCell ref="AH43:AI43"/>
    <mergeCell ref="AJ43:AK43"/>
    <mergeCell ref="AL43:AM43"/>
    <mergeCell ref="P43:Q43"/>
    <mergeCell ref="R43:S43"/>
    <mergeCell ref="T43:U43"/>
    <mergeCell ref="V43:W43"/>
    <mergeCell ref="X43:Y43"/>
    <mergeCell ref="Z43:AA43"/>
    <mergeCell ref="GT42:GU42"/>
    <mergeCell ref="GV42:GW42"/>
    <mergeCell ref="GX42:GY42"/>
    <mergeCell ref="GZ42:HA42"/>
    <mergeCell ref="D43:E43"/>
    <mergeCell ref="F43:G43"/>
    <mergeCell ref="H43:I43"/>
    <mergeCell ref="J43:K43"/>
    <mergeCell ref="L43:M43"/>
    <mergeCell ref="N43:O43"/>
    <mergeCell ref="GH42:GI42"/>
    <mergeCell ref="GJ42:GK42"/>
    <mergeCell ref="GL42:GM42"/>
    <mergeCell ref="GN42:GO42"/>
    <mergeCell ref="GP42:GQ42"/>
    <mergeCell ref="GR42:GS42"/>
    <mergeCell ref="FV42:FW42"/>
    <mergeCell ref="FX42:FY42"/>
    <mergeCell ref="FZ42:GA42"/>
    <mergeCell ref="GB42:GC42"/>
    <mergeCell ref="GD42:GE42"/>
    <mergeCell ref="GF42:GG42"/>
    <mergeCell ref="FJ42:FK42"/>
    <mergeCell ref="FL42:FM42"/>
    <mergeCell ref="FN42:FO42"/>
    <mergeCell ref="FP42:FQ42"/>
    <mergeCell ref="FR42:FS42"/>
    <mergeCell ref="FT42:FU42"/>
    <mergeCell ref="EX42:EY42"/>
    <mergeCell ref="EZ42:FA42"/>
    <mergeCell ref="FB42:FC42"/>
    <mergeCell ref="FD42:FE42"/>
    <mergeCell ref="FF42:FG42"/>
    <mergeCell ref="FH42:FI42"/>
    <mergeCell ref="EL42:EM42"/>
    <mergeCell ref="EN42:EO42"/>
    <mergeCell ref="EP42:EQ42"/>
    <mergeCell ref="ER42:ES42"/>
    <mergeCell ref="ET42:EU42"/>
    <mergeCell ref="EV42:EW42"/>
    <mergeCell ref="DZ42:EA42"/>
    <mergeCell ref="EB42:EC42"/>
    <mergeCell ref="ED42:EE42"/>
    <mergeCell ref="EF42:EG42"/>
    <mergeCell ref="EH42:EI42"/>
    <mergeCell ref="EJ42:EK42"/>
    <mergeCell ref="DN42:DO42"/>
    <mergeCell ref="DP42:DQ42"/>
    <mergeCell ref="DR42:DS42"/>
    <mergeCell ref="DT42:DU42"/>
    <mergeCell ref="DV42:DW42"/>
    <mergeCell ref="DX42:DY42"/>
    <mergeCell ref="DB42:DC42"/>
    <mergeCell ref="DD42:DE42"/>
    <mergeCell ref="DF42:DG42"/>
    <mergeCell ref="DH42:DI42"/>
    <mergeCell ref="DJ42:DK42"/>
    <mergeCell ref="DL42:DM42"/>
    <mergeCell ref="CP42:CQ42"/>
    <mergeCell ref="CR42:CS42"/>
    <mergeCell ref="CT42:CU42"/>
    <mergeCell ref="CV42:CW42"/>
    <mergeCell ref="CX42:CY42"/>
    <mergeCell ref="CZ42:DA42"/>
    <mergeCell ref="CD42:CE42"/>
    <mergeCell ref="CF42:CG42"/>
    <mergeCell ref="CH42:CI42"/>
    <mergeCell ref="CJ42:CK42"/>
    <mergeCell ref="CL42:CM42"/>
    <mergeCell ref="CN42:CO42"/>
    <mergeCell ref="BR42:BS42"/>
    <mergeCell ref="BT42:BU42"/>
    <mergeCell ref="BV42:BW42"/>
    <mergeCell ref="BX42:BY42"/>
    <mergeCell ref="BZ42:CA42"/>
    <mergeCell ref="CB42:CC42"/>
    <mergeCell ref="BF42:BG42"/>
    <mergeCell ref="BH42:BI42"/>
    <mergeCell ref="BJ42:BK42"/>
    <mergeCell ref="BL42:BM42"/>
    <mergeCell ref="BN42:BO42"/>
    <mergeCell ref="BP42:BQ42"/>
    <mergeCell ref="AT42:AU42"/>
    <mergeCell ref="AV42:AW42"/>
    <mergeCell ref="AX42:AY42"/>
    <mergeCell ref="AZ42:BA42"/>
    <mergeCell ref="BB42:BC42"/>
    <mergeCell ref="BD42:BE42"/>
    <mergeCell ref="AH42:AI42"/>
    <mergeCell ref="AJ42:AK42"/>
    <mergeCell ref="AL42:AM42"/>
    <mergeCell ref="AN42:AO42"/>
    <mergeCell ref="AP42:AQ42"/>
    <mergeCell ref="AR42:AS42"/>
    <mergeCell ref="V42:W42"/>
    <mergeCell ref="X42:Y42"/>
    <mergeCell ref="Z42:AA42"/>
    <mergeCell ref="AB42:AC42"/>
    <mergeCell ref="AD42:AE42"/>
    <mergeCell ref="AF42:AG42"/>
    <mergeCell ref="GZ41:HA41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GN41:GO41"/>
    <mergeCell ref="GP41:GQ41"/>
    <mergeCell ref="GR41:GS41"/>
    <mergeCell ref="GT41:GU41"/>
    <mergeCell ref="GV41:GW41"/>
    <mergeCell ref="GX41:GY41"/>
    <mergeCell ref="GB41:GC41"/>
    <mergeCell ref="GD41:GE41"/>
    <mergeCell ref="GF41:GG41"/>
    <mergeCell ref="GH41:GI41"/>
    <mergeCell ref="GJ41:GK41"/>
    <mergeCell ref="GL41:GM41"/>
    <mergeCell ref="FP41:FQ41"/>
    <mergeCell ref="FR41:FS41"/>
    <mergeCell ref="FT41:FU41"/>
    <mergeCell ref="FV41:FW41"/>
    <mergeCell ref="FX41:FY41"/>
    <mergeCell ref="FZ41:GA41"/>
    <mergeCell ref="FD41:FE41"/>
    <mergeCell ref="FF41:FG41"/>
    <mergeCell ref="FH41:FI41"/>
    <mergeCell ref="FJ41:FK41"/>
    <mergeCell ref="FL41:FM41"/>
    <mergeCell ref="FN41:FO41"/>
    <mergeCell ref="ER41:ES41"/>
    <mergeCell ref="ET41:EU41"/>
    <mergeCell ref="EV41:EW41"/>
    <mergeCell ref="EX41:EY41"/>
    <mergeCell ref="EZ41:FA41"/>
    <mergeCell ref="FB41:FC41"/>
    <mergeCell ref="EF41:EG41"/>
    <mergeCell ref="EH41:EI41"/>
    <mergeCell ref="EJ41:EK41"/>
    <mergeCell ref="EL41:EM41"/>
    <mergeCell ref="EN41:EO41"/>
    <mergeCell ref="EP41:EQ41"/>
    <mergeCell ref="DT41:DU41"/>
    <mergeCell ref="DV41:DW41"/>
    <mergeCell ref="DX41:DY41"/>
    <mergeCell ref="DZ41:EA41"/>
    <mergeCell ref="EB41:EC41"/>
    <mergeCell ref="ED41:EE41"/>
    <mergeCell ref="DH41:DI41"/>
    <mergeCell ref="DJ41:DK41"/>
    <mergeCell ref="DL41:DM41"/>
    <mergeCell ref="DN41:DO41"/>
    <mergeCell ref="DP41:DQ41"/>
    <mergeCell ref="DR41:DS41"/>
    <mergeCell ref="CV41:CW41"/>
    <mergeCell ref="CX41:CY41"/>
    <mergeCell ref="CZ41:DA41"/>
    <mergeCell ref="DB41:DC41"/>
    <mergeCell ref="DD41:DE41"/>
    <mergeCell ref="DF41:DG41"/>
    <mergeCell ref="CJ41:CK41"/>
    <mergeCell ref="CL41:CM41"/>
    <mergeCell ref="CN41:CO41"/>
    <mergeCell ref="CP41:CQ41"/>
    <mergeCell ref="CR41:CS41"/>
    <mergeCell ref="CT41:CU41"/>
    <mergeCell ref="BX41:BY41"/>
    <mergeCell ref="BZ41:CA41"/>
    <mergeCell ref="CB41:CC41"/>
    <mergeCell ref="CD41:CE41"/>
    <mergeCell ref="CF41:CG41"/>
    <mergeCell ref="CH41:CI41"/>
    <mergeCell ref="BL41:BM41"/>
    <mergeCell ref="BN41:BO41"/>
    <mergeCell ref="BP41:BQ41"/>
    <mergeCell ref="BR41:BS41"/>
    <mergeCell ref="BT41:BU41"/>
    <mergeCell ref="BV41:BW41"/>
    <mergeCell ref="AZ41:BA41"/>
    <mergeCell ref="BB41:BC41"/>
    <mergeCell ref="BD41:BE41"/>
    <mergeCell ref="BF41:BG41"/>
    <mergeCell ref="BH41:BI41"/>
    <mergeCell ref="BJ41:BK41"/>
    <mergeCell ref="AN41:AO41"/>
    <mergeCell ref="AP41:AQ41"/>
    <mergeCell ref="AR41:AS41"/>
    <mergeCell ref="AT41:AU41"/>
    <mergeCell ref="AV41:AW41"/>
    <mergeCell ref="AX41:AY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GT40:GU40"/>
    <mergeCell ref="GV40:GW40"/>
    <mergeCell ref="GX40:GY40"/>
    <mergeCell ref="GZ40:HA40"/>
    <mergeCell ref="D41:E41"/>
    <mergeCell ref="F41:G41"/>
    <mergeCell ref="H41:I41"/>
    <mergeCell ref="J41:K41"/>
    <mergeCell ref="L41:M41"/>
    <mergeCell ref="N41:O41"/>
    <mergeCell ref="GH40:GI40"/>
    <mergeCell ref="GJ40:GK40"/>
    <mergeCell ref="GL40:GM40"/>
    <mergeCell ref="GN40:GO40"/>
    <mergeCell ref="GP40:GQ40"/>
    <mergeCell ref="GR40:GS40"/>
    <mergeCell ref="FV40:FW40"/>
    <mergeCell ref="FX40:FY40"/>
    <mergeCell ref="FZ40:GA40"/>
    <mergeCell ref="GB40:GC40"/>
    <mergeCell ref="GD40:GE40"/>
    <mergeCell ref="GF40:GG40"/>
    <mergeCell ref="FJ40:FK40"/>
    <mergeCell ref="FL40:FM40"/>
    <mergeCell ref="FN40:FO40"/>
    <mergeCell ref="FP40:FQ40"/>
    <mergeCell ref="FR40:FS40"/>
    <mergeCell ref="FT40:FU40"/>
    <mergeCell ref="EX40:EY40"/>
    <mergeCell ref="EZ40:FA40"/>
    <mergeCell ref="FB40:FC40"/>
    <mergeCell ref="FD40:FE40"/>
    <mergeCell ref="FF40:FG40"/>
    <mergeCell ref="FH40:FI40"/>
    <mergeCell ref="EL40:EM40"/>
    <mergeCell ref="EN40:EO40"/>
    <mergeCell ref="EP40:EQ40"/>
    <mergeCell ref="ER40:ES40"/>
    <mergeCell ref="ET40:EU40"/>
    <mergeCell ref="EV40:EW40"/>
    <mergeCell ref="DZ40:EA40"/>
    <mergeCell ref="EB40:EC40"/>
    <mergeCell ref="ED40:EE40"/>
    <mergeCell ref="EF40:EG40"/>
    <mergeCell ref="EH40:EI40"/>
    <mergeCell ref="EJ40:EK40"/>
    <mergeCell ref="DN40:DO40"/>
    <mergeCell ref="DP40:DQ40"/>
    <mergeCell ref="DR40:DS40"/>
    <mergeCell ref="DT40:DU40"/>
    <mergeCell ref="DV40:DW40"/>
    <mergeCell ref="DX40:DY40"/>
    <mergeCell ref="DB40:DC40"/>
    <mergeCell ref="DD40:DE40"/>
    <mergeCell ref="DF40:DG40"/>
    <mergeCell ref="DH40:DI40"/>
    <mergeCell ref="DJ40:DK40"/>
    <mergeCell ref="DL40:DM40"/>
    <mergeCell ref="CP40:CQ40"/>
    <mergeCell ref="CR40:CS40"/>
    <mergeCell ref="CT40:CU40"/>
    <mergeCell ref="CV40:CW40"/>
    <mergeCell ref="CX40:CY40"/>
    <mergeCell ref="CZ40:DA40"/>
    <mergeCell ref="CD40:CE40"/>
    <mergeCell ref="CF40:CG40"/>
    <mergeCell ref="CH40:CI40"/>
    <mergeCell ref="CJ40:CK40"/>
    <mergeCell ref="CL40:CM40"/>
    <mergeCell ref="CN40:CO40"/>
    <mergeCell ref="BR40:BS40"/>
    <mergeCell ref="BT40:BU40"/>
    <mergeCell ref="BV40:BW40"/>
    <mergeCell ref="BX40:BY40"/>
    <mergeCell ref="BZ40:CA40"/>
    <mergeCell ref="CB40:CC40"/>
    <mergeCell ref="BF40:BG40"/>
    <mergeCell ref="BH40:BI40"/>
    <mergeCell ref="BJ40:BK40"/>
    <mergeCell ref="BL40:BM40"/>
    <mergeCell ref="BN40:BO40"/>
    <mergeCell ref="BP40:BQ40"/>
    <mergeCell ref="AT40:AU40"/>
    <mergeCell ref="AV40:AW40"/>
    <mergeCell ref="AX40:AY40"/>
    <mergeCell ref="AZ40:BA40"/>
    <mergeCell ref="BB40:BC40"/>
    <mergeCell ref="BD40:BE40"/>
    <mergeCell ref="AH40:AI40"/>
    <mergeCell ref="AJ40:AK40"/>
    <mergeCell ref="AL40:AM40"/>
    <mergeCell ref="AN40:AO40"/>
    <mergeCell ref="AP40:AQ40"/>
    <mergeCell ref="AR40:AS40"/>
    <mergeCell ref="V40:W40"/>
    <mergeCell ref="X40:Y40"/>
    <mergeCell ref="Z40:AA40"/>
    <mergeCell ref="AB40:AC40"/>
    <mergeCell ref="AD40:AE40"/>
    <mergeCell ref="AF40:AG40"/>
    <mergeCell ref="GZ39:HA39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GN39:GO39"/>
    <mergeCell ref="GP39:GQ39"/>
    <mergeCell ref="GR39:GS39"/>
    <mergeCell ref="GT39:GU39"/>
    <mergeCell ref="GV39:GW39"/>
    <mergeCell ref="GX39:GY39"/>
    <mergeCell ref="GB39:GC39"/>
    <mergeCell ref="GD39:GE39"/>
    <mergeCell ref="GF39:GG39"/>
    <mergeCell ref="GH39:GI39"/>
    <mergeCell ref="GJ39:GK39"/>
    <mergeCell ref="GL39:GM39"/>
    <mergeCell ref="FP39:FQ39"/>
    <mergeCell ref="FR39:FS39"/>
    <mergeCell ref="FT39:FU39"/>
    <mergeCell ref="FV39:FW39"/>
    <mergeCell ref="FX39:FY39"/>
    <mergeCell ref="FZ39:GA39"/>
    <mergeCell ref="FD39:FE39"/>
    <mergeCell ref="FF39:FG39"/>
    <mergeCell ref="FH39:FI39"/>
    <mergeCell ref="FJ39:FK39"/>
    <mergeCell ref="FL39:FM39"/>
    <mergeCell ref="FN39:FO39"/>
    <mergeCell ref="ER39:ES39"/>
    <mergeCell ref="ET39:EU39"/>
    <mergeCell ref="EV39:EW39"/>
    <mergeCell ref="EX39:EY39"/>
    <mergeCell ref="EZ39:FA39"/>
    <mergeCell ref="FB39:FC39"/>
    <mergeCell ref="EF39:EG39"/>
    <mergeCell ref="EH39:EI39"/>
    <mergeCell ref="EJ39:EK39"/>
    <mergeCell ref="EL39:EM39"/>
    <mergeCell ref="EN39:EO39"/>
    <mergeCell ref="EP39:EQ39"/>
    <mergeCell ref="DT39:DU39"/>
    <mergeCell ref="DV39:DW39"/>
    <mergeCell ref="DX39:DY39"/>
    <mergeCell ref="DZ39:EA39"/>
    <mergeCell ref="EB39:EC39"/>
    <mergeCell ref="ED39:EE39"/>
    <mergeCell ref="DH39:DI39"/>
    <mergeCell ref="DJ39:DK39"/>
    <mergeCell ref="DL39:DM39"/>
    <mergeCell ref="DN39:DO39"/>
    <mergeCell ref="DP39:DQ39"/>
    <mergeCell ref="DR39:DS39"/>
    <mergeCell ref="CV39:CW39"/>
    <mergeCell ref="CX39:CY39"/>
    <mergeCell ref="CZ39:DA39"/>
    <mergeCell ref="DB39:DC39"/>
    <mergeCell ref="DD39:DE39"/>
    <mergeCell ref="DF39:DG39"/>
    <mergeCell ref="CJ39:CK39"/>
    <mergeCell ref="CL39:CM39"/>
    <mergeCell ref="CN39:CO39"/>
    <mergeCell ref="CP39:CQ39"/>
    <mergeCell ref="CR39:CS39"/>
    <mergeCell ref="CT39:CU39"/>
    <mergeCell ref="BX39:BY39"/>
    <mergeCell ref="BZ39:CA39"/>
    <mergeCell ref="CB39:CC39"/>
    <mergeCell ref="CD39:CE39"/>
    <mergeCell ref="CF39:CG39"/>
    <mergeCell ref="CH39:CI39"/>
    <mergeCell ref="BL39:BM39"/>
    <mergeCell ref="BN39:BO39"/>
    <mergeCell ref="BP39:BQ39"/>
    <mergeCell ref="BR39:BS39"/>
    <mergeCell ref="BT39:BU39"/>
    <mergeCell ref="BV39:BW39"/>
    <mergeCell ref="AZ39:BA39"/>
    <mergeCell ref="BB39:BC39"/>
    <mergeCell ref="BD39:BE39"/>
    <mergeCell ref="BF39:BG39"/>
    <mergeCell ref="BH39:BI39"/>
    <mergeCell ref="BJ39:BK39"/>
    <mergeCell ref="AN39:AO39"/>
    <mergeCell ref="AP39:AQ39"/>
    <mergeCell ref="AR39:AS39"/>
    <mergeCell ref="AT39:AU39"/>
    <mergeCell ref="AV39:AW39"/>
    <mergeCell ref="AX39:AY39"/>
    <mergeCell ref="AB39:AC39"/>
    <mergeCell ref="AD39:AE39"/>
    <mergeCell ref="AF39:AG39"/>
    <mergeCell ref="AH39:AI39"/>
    <mergeCell ref="AJ39:AK39"/>
    <mergeCell ref="AL39:AM39"/>
    <mergeCell ref="P39:Q39"/>
    <mergeCell ref="R39:S39"/>
    <mergeCell ref="T39:U39"/>
    <mergeCell ref="V39:W39"/>
    <mergeCell ref="X39:Y39"/>
    <mergeCell ref="Z39:AA39"/>
    <mergeCell ref="GV38:GW38"/>
    <mergeCell ref="GX38:GY38"/>
    <mergeCell ref="GZ38:HA38"/>
    <mergeCell ref="D39:E39"/>
    <mergeCell ref="F39:G39"/>
    <mergeCell ref="H39:I39"/>
    <mergeCell ref="J39:K39"/>
    <mergeCell ref="L39:M39"/>
    <mergeCell ref="N39:O39"/>
    <mergeCell ref="GJ38:GK38"/>
    <mergeCell ref="GL38:GM38"/>
    <mergeCell ref="GN38:GO38"/>
    <mergeCell ref="GP38:GQ38"/>
    <mergeCell ref="GR38:GS38"/>
    <mergeCell ref="GT38:GU38"/>
    <mergeCell ref="FX38:FY38"/>
    <mergeCell ref="FZ38:GA38"/>
    <mergeCell ref="GB38:GC38"/>
    <mergeCell ref="GD38:GE38"/>
    <mergeCell ref="GF38:GG38"/>
    <mergeCell ref="GH38:GI38"/>
    <mergeCell ref="FL38:FM38"/>
    <mergeCell ref="FN38:FO38"/>
    <mergeCell ref="FP38:FQ38"/>
    <mergeCell ref="FR38:FS38"/>
    <mergeCell ref="FT38:FU38"/>
    <mergeCell ref="FV38:FW38"/>
    <mergeCell ref="EZ38:FA38"/>
    <mergeCell ref="FB38:FC38"/>
    <mergeCell ref="FD38:FE38"/>
    <mergeCell ref="FF38:FG38"/>
    <mergeCell ref="FH38:FI38"/>
    <mergeCell ref="FJ38:FK38"/>
    <mergeCell ref="EN38:EO38"/>
    <mergeCell ref="EP38:EQ38"/>
    <mergeCell ref="ER38:ES38"/>
    <mergeCell ref="ET38:EU38"/>
    <mergeCell ref="EV38:EW38"/>
    <mergeCell ref="EX38:EY38"/>
    <mergeCell ref="EB38:EC38"/>
    <mergeCell ref="ED38:EE38"/>
    <mergeCell ref="EF38:EG38"/>
    <mergeCell ref="EH38:EI38"/>
    <mergeCell ref="EJ38:EK38"/>
    <mergeCell ref="EL38:EM38"/>
    <mergeCell ref="DP38:DQ38"/>
    <mergeCell ref="DR38:DS38"/>
    <mergeCell ref="DT38:DU38"/>
    <mergeCell ref="DV38:DW38"/>
    <mergeCell ref="DX38:DY38"/>
    <mergeCell ref="DZ38:EA38"/>
    <mergeCell ref="DD38:DE38"/>
    <mergeCell ref="DF38:DG38"/>
    <mergeCell ref="DH38:DI38"/>
    <mergeCell ref="DJ38:DK38"/>
    <mergeCell ref="DL38:DM38"/>
    <mergeCell ref="DN38:DO38"/>
    <mergeCell ref="CR38:CS38"/>
    <mergeCell ref="CT38:CU38"/>
    <mergeCell ref="CV38:CW38"/>
    <mergeCell ref="CX38:CY38"/>
    <mergeCell ref="CZ38:DA38"/>
    <mergeCell ref="DB38:DC38"/>
    <mergeCell ref="CF38:CG38"/>
    <mergeCell ref="CH38:CI38"/>
    <mergeCell ref="CJ38:CK38"/>
    <mergeCell ref="CL38:CM38"/>
    <mergeCell ref="CN38:CO38"/>
    <mergeCell ref="CP38:CQ38"/>
    <mergeCell ref="BT38:BU38"/>
    <mergeCell ref="BV38:BW38"/>
    <mergeCell ref="BX38:BY38"/>
    <mergeCell ref="BZ38:CA38"/>
    <mergeCell ref="CB38:CC38"/>
    <mergeCell ref="CD38:CE38"/>
    <mergeCell ref="BH38:BI38"/>
    <mergeCell ref="BJ38:BK38"/>
    <mergeCell ref="BL38:BM38"/>
    <mergeCell ref="BN38:BO38"/>
    <mergeCell ref="BP38:BQ38"/>
    <mergeCell ref="BR38:BS38"/>
    <mergeCell ref="AV38:AW38"/>
    <mergeCell ref="AX38:AY38"/>
    <mergeCell ref="AZ38:BA38"/>
    <mergeCell ref="BB38:BC38"/>
    <mergeCell ref="BD38:BE38"/>
    <mergeCell ref="BF38:BG38"/>
    <mergeCell ref="AJ38:AK38"/>
    <mergeCell ref="AL38:AM38"/>
    <mergeCell ref="AN38:AO38"/>
    <mergeCell ref="AP38:AQ38"/>
    <mergeCell ref="AR38:AS38"/>
    <mergeCell ref="AT38:AU38"/>
    <mergeCell ref="X38:Y38"/>
    <mergeCell ref="Z38:AA38"/>
    <mergeCell ref="AB38:AC38"/>
    <mergeCell ref="AD38:AE38"/>
    <mergeCell ref="AF38:AG38"/>
    <mergeCell ref="AH38:AI38"/>
    <mergeCell ref="L38:M38"/>
    <mergeCell ref="N38:O38"/>
    <mergeCell ref="P38:Q38"/>
    <mergeCell ref="R38:S38"/>
    <mergeCell ref="T38:U38"/>
    <mergeCell ref="V38:W38"/>
    <mergeCell ref="D38:E38"/>
    <mergeCell ref="F38:G38"/>
    <mergeCell ref="H38:I38"/>
    <mergeCell ref="J38:K38"/>
    <mergeCell ref="GR4:GS4"/>
    <mergeCell ref="GT4:GU4"/>
    <mergeCell ref="GV4:GW4"/>
    <mergeCell ref="GX4:GY4"/>
    <mergeCell ref="GZ4:HA4"/>
    <mergeCell ref="GF4:GG4"/>
    <mergeCell ref="GH4:GI4"/>
    <mergeCell ref="GJ4:GK4"/>
    <mergeCell ref="GL4:GM4"/>
    <mergeCell ref="GN4:GO4"/>
    <mergeCell ref="GP4:GQ4"/>
    <mergeCell ref="FT4:FU4"/>
    <mergeCell ref="FV4:FW4"/>
    <mergeCell ref="FX4:FY4"/>
    <mergeCell ref="FZ4:GA4"/>
    <mergeCell ref="GB4:GC4"/>
    <mergeCell ref="GD4:GE4"/>
    <mergeCell ref="FH4:FI4"/>
    <mergeCell ref="FJ4:FK4"/>
    <mergeCell ref="FL4:FM4"/>
    <mergeCell ref="FN4:FO4"/>
    <mergeCell ref="FP4:FQ4"/>
    <mergeCell ref="FR4:FS4"/>
    <mergeCell ref="EV4:EW4"/>
    <mergeCell ref="EX4:EY4"/>
    <mergeCell ref="EZ4:FA4"/>
    <mergeCell ref="FB4:FC4"/>
    <mergeCell ref="FD4:FE4"/>
    <mergeCell ref="FF4:FG4"/>
    <mergeCell ref="EJ4:EK4"/>
    <mergeCell ref="EL4:EM4"/>
    <mergeCell ref="EN4:EO4"/>
    <mergeCell ref="EP4:EQ4"/>
    <mergeCell ref="ER4:ES4"/>
    <mergeCell ref="ET4:EU4"/>
    <mergeCell ref="DX4:DY4"/>
    <mergeCell ref="DZ4:EA4"/>
    <mergeCell ref="EB4:EC4"/>
    <mergeCell ref="ED4:EE4"/>
    <mergeCell ref="EF4:EG4"/>
    <mergeCell ref="EH4:EI4"/>
    <mergeCell ref="DL4:DM4"/>
    <mergeCell ref="DN4:DO4"/>
    <mergeCell ref="DP4:DQ4"/>
    <mergeCell ref="DR4:DS4"/>
    <mergeCell ref="DT4:DU4"/>
    <mergeCell ref="DV4:DW4"/>
    <mergeCell ref="CZ4:DA4"/>
    <mergeCell ref="DB4:DC4"/>
    <mergeCell ref="DD4:DE4"/>
    <mergeCell ref="DF4:DG4"/>
    <mergeCell ref="DH4:DI4"/>
    <mergeCell ref="DJ4:DK4"/>
    <mergeCell ref="CN4:CO4"/>
    <mergeCell ref="CP4:CQ4"/>
    <mergeCell ref="CR4:CS4"/>
    <mergeCell ref="CT4:CU4"/>
    <mergeCell ref="CV4:CW4"/>
    <mergeCell ref="CX4:CY4"/>
    <mergeCell ref="CB4:CC4"/>
    <mergeCell ref="CD4:CE4"/>
    <mergeCell ref="CF4:CG4"/>
    <mergeCell ref="CH4:CI4"/>
    <mergeCell ref="CJ4:CK4"/>
    <mergeCell ref="CL4:CM4"/>
    <mergeCell ref="BP4:BQ4"/>
    <mergeCell ref="BR4:BS4"/>
    <mergeCell ref="BT4:BU4"/>
    <mergeCell ref="BV4:BW4"/>
    <mergeCell ref="BX4:BY4"/>
    <mergeCell ref="BZ4:CA4"/>
    <mergeCell ref="BD4:BE4"/>
    <mergeCell ref="BF4:BG4"/>
    <mergeCell ref="BH4:BI4"/>
    <mergeCell ref="BJ4:BK4"/>
    <mergeCell ref="BL4:BM4"/>
    <mergeCell ref="BN4:BO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GZ1:HA2"/>
    <mergeCell ref="D4:E4"/>
    <mergeCell ref="F4:G4"/>
    <mergeCell ref="H4:I4"/>
    <mergeCell ref="J4:K4"/>
    <mergeCell ref="L4:M4"/>
    <mergeCell ref="N4:O4"/>
    <mergeCell ref="P4:Q4"/>
    <mergeCell ref="R4:S4"/>
    <mergeCell ref="GN1:GO2"/>
    <mergeCell ref="GP1:GQ2"/>
    <mergeCell ref="GR1:GS2"/>
    <mergeCell ref="GT1:GU2"/>
    <mergeCell ref="GV1:GW2"/>
    <mergeCell ref="GX1:GY2"/>
    <mergeCell ref="GB1:GC2"/>
    <mergeCell ref="GD1:GE2"/>
    <mergeCell ref="GF1:GG2"/>
    <mergeCell ref="GH1:GI2"/>
    <mergeCell ref="GJ1:GK2"/>
    <mergeCell ref="GL1:GM2"/>
    <mergeCell ref="FP1:FQ2"/>
    <mergeCell ref="FR1:FS2"/>
    <mergeCell ref="FT1:FU2"/>
    <mergeCell ref="FV1:FW2"/>
    <mergeCell ref="FX1:FY2"/>
    <mergeCell ref="FZ1:GA2"/>
    <mergeCell ref="FD1:FE2"/>
    <mergeCell ref="FF1:FG2"/>
    <mergeCell ref="FH1:FI2"/>
    <mergeCell ref="FJ1:FK2"/>
    <mergeCell ref="FL1:FM2"/>
    <mergeCell ref="FN1:FO2"/>
    <mergeCell ref="ER1:ES2"/>
    <mergeCell ref="ET1:EU2"/>
    <mergeCell ref="EV1:EW2"/>
    <mergeCell ref="EX1:EY2"/>
    <mergeCell ref="EZ1:FA2"/>
    <mergeCell ref="FB1:FC2"/>
    <mergeCell ref="EF1:EG2"/>
    <mergeCell ref="EH1:EI2"/>
    <mergeCell ref="EJ1:EK2"/>
    <mergeCell ref="EL1:EM2"/>
    <mergeCell ref="EN1:EO2"/>
    <mergeCell ref="EP1:EQ2"/>
    <mergeCell ref="DT1:DU2"/>
    <mergeCell ref="DV1:DW2"/>
    <mergeCell ref="DX1:DY2"/>
    <mergeCell ref="DZ1:EA2"/>
    <mergeCell ref="EB1:EC2"/>
    <mergeCell ref="ED1:EE2"/>
    <mergeCell ref="DH1:DI2"/>
    <mergeCell ref="DJ1:DK2"/>
    <mergeCell ref="DL1:DM2"/>
    <mergeCell ref="DN1:DO2"/>
    <mergeCell ref="DP1:DQ2"/>
    <mergeCell ref="DR1:DS2"/>
    <mergeCell ref="CV1:CW2"/>
    <mergeCell ref="CX1:CY2"/>
    <mergeCell ref="CZ1:DA2"/>
    <mergeCell ref="DB1:DC2"/>
    <mergeCell ref="DD1:DE2"/>
    <mergeCell ref="DF1:DG2"/>
    <mergeCell ref="CJ1:CK2"/>
    <mergeCell ref="CL1:CM2"/>
    <mergeCell ref="CN1:CO2"/>
    <mergeCell ref="CP1:CQ2"/>
    <mergeCell ref="CR1:CS2"/>
    <mergeCell ref="CT1:CU2"/>
    <mergeCell ref="BX1:BY2"/>
    <mergeCell ref="BZ1:CA2"/>
    <mergeCell ref="CB1:CC2"/>
    <mergeCell ref="CD1:CE2"/>
    <mergeCell ref="CF1:CG2"/>
    <mergeCell ref="CH1:CI2"/>
    <mergeCell ref="BL1:BM2"/>
    <mergeCell ref="BN1:BO2"/>
    <mergeCell ref="BP1:BQ2"/>
    <mergeCell ref="BR1:BS2"/>
    <mergeCell ref="BT1:BU2"/>
    <mergeCell ref="BV1:BW2"/>
    <mergeCell ref="AZ1:BA2"/>
    <mergeCell ref="BB1:BC2"/>
    <mergeCell ref="BD1:BE2"/>
    <mergeCell ref="BF1:BG2"/>
    <mergeCell ref="BH1:BI2"/>
    <mergeCell ref="BJ1:BK2"/>
    <mergeCell ref="AN1:AO2"/>
    <mergeCell ref="AP1:AQ2"/>
    <mergeCell ref="AR1:AS2"/>
    <mergeCell ref="AT1:AU2"/>
    <mergeCell ref="AV1:AW2"/>
    <mergeCell ref="AX1:AY2"/>
    <mergeCell ref="AB1:AC2"/>
    <mergeCell ref="AD1:AE2"/>
    <mergeCell ref="AF1:AG2"/>
    <mergeCell ref="AH1:AI2"/>
    <mergeCell ref="AJ1:AK2"/>
    <mergeCell ref="AL1:AM2"/>
    <mergeCell ref="P1:Q2"/>
    <mergeCell ref="R1:S2"/>
    <mergeCell ref="T1:U2"/>
    <mergeCell ref="V1:W2"/>
    <mergeCell ref="X1:Y2"/>
    <mergeCell ref="Z1:AA2"/>
    <mergeCell ref="D1:E2"/>
    <mergeCell ref="F1:G2"/>
    <mergeCell ref="H1:I2"/>
    <mergeCell ref="J1:K2"/>
    <mergeCell ref="L1:M2"/>
    <mergeCell ref="N1:O2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권보영(Boyoung Kwon)</dc:creator>
  <cp:lastModifiedBy>권보영(Boyoung Kwon)</cp:lastModifiedBy>
  <dcterms:created xsi:type="dcterms:W3CDTF">2026-04-14T04:27:35Z</dcterms:created>
  <dcterms:modified xsi:type="dcterms:W3CDTF">2026-04-14T04:34:53Z</dcterms:modified>
</cp:coreProperties>
</file>